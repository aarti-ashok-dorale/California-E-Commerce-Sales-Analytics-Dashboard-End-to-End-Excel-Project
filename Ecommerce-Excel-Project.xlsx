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F78C4E0-2C31-4808-813F-AEDD56C851F1}" xr6:coauthVersionLast="47" xr6:coauthVersionMax="47" xr10:uidLastSave="{00000000-0000-0000-0000-000000000000}"/>
  <bookViews>
    <workbookView xWindow="-108" yWindow="-108" windowWidth="23256" windowHeight="12456" xr2:uid="{346724B3-1C49-40AE-AA36-C77CF5D6DD09}"/>
  </bookViews>
  <sheets>
    <sheet name="Data" sheetId="1" r:id="rId1"/>
    <sheet name="KPIs and Questions" sheetId="2" r:id="rId2"/>
    <sheet name="Dashboard" sheetId="3" r:id="rId3"/>
    <sheet name="Insights" sheetId="25" r:id="rId4"/>
    <sheet name="pivot 1" sheetId="19" r:id="rId5"/>
    <sheet name="pivot2" sheetId="20" r:id="rId6"/>
    <sheet name="pivot3" sheetId="21" r:id="rId7"/>
    <sheet name="pivot4" sheetId="22" r:id="rId8"/>
    <sheet name="pivot5" sheetId="23" r:id="rId9"/>
    <sheet name="pivot6" sheetId="24" r:id="rId10"/>
    <sheet name="data cleaning" sheetId="5" r:id="rId11"/>
  </sheets>
  <definedNames>
    <definedName name="_xlchart.v5.0" hidden="1">pivot5!$I$3:$J$3</definedName>
    <definedName name="_xlchart.v5.1" hidden="1">pivot5!$I$4:$J$61</definedName>
    <definedName name="_xlchart.v5.2" hidden="1">pivot5!$K$3</definedName>
    <definedName name="_xlchart.v5.3" hidden="1">pivot5!$K$4:$K$61</definedName>
    <definedName name="Slicer_Gender_Value">#N/A</definedName>
    <definedName name="Slicer_Order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23" l="1"/>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J54" i="23"/>
  <c r="J55" i="23"/>
  <c r="J56" i="23"/>
  <c r="J57" i="23"/>
  <c r="J58" i="23"/>
  <c r="J59" i="23"/>
  <c r="J60" i="23"/>
  <c r="J61" i="23"/>
  <c r="J43" i="23"/>
  <c r="J44" i="23"/>
  <c r="J45" i="23"/>
  <c r="J46" i="23"/>
  <c r="J47" i="23"/>
  <c r="J48" i="23"/>
  <c r="J49" i="23"/>
  <c r="J50" i="23"/>
  <c r="J51" i="23"/>
  <c r="J52" i="23"/>
  <c r="J53" i="23"/>
  <c r="J31" i="23"/>
  <c r="J32" i="23"/>
  <c r="J33" i="23"/>
  <c r="J34" i="23"/>
  <c r="J35" i="23"/>
  <c r="J36" i="23"/>
  <c r="J37" i="23"/>
  <c r="J38" i="23"/>
  <c r="J39" i="23"/>
  <c r="J40" i="23"/>
  <c r="J41" i="23"/>
  <c r="J42" i="23"/>
  <c r="J27" i="23"/>
  <c r="J28" i="23"/>
  <c r="J29" i="23"/>
  <c r="J30" i="23"/>
  <c r="J5" i="23"/>
  <c r="J6" i="23"/>
  <c r="J7" i="23"/>
  <c r="J8" i="23"/>
  <c r="J9" i="23"/>
  <c r="J10" i="23"/>
  <c r="J11" i="23"/>
  <c r="J12" i="23"/>
  <c r="J13" i="23"/>
  <c r="J14" i="23"/>
  <c r="J15" i="23"/>
  <c r="J16" i="23"/>
  <c r="J17" i="23"/>
  <c r="J18" i="23"/>
  <c r="J19" i="23"/>
  <c r="J20" i="23"/>
  <c r="J21" i="23"/>
  <c r="J22" i="23"/>
  <c r="J23" i="23"/>
  <c r="J24" i="23"/>
  <c r="J25" i="23"/>
  <c r="J26"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J4" i="23"/>
  <c r="K4" i="23"/>
  <c r="I4" i="23"/>
  <c r="J4" i="20"/>
  <c r="K4" i="20"/>
  <c r="L4" i="20"/>
  <c r="I4" i="20"/>
  <c r="I5" i="20"/>
  <c r="J5" i="20"/>
  <c r="K5" i="20"/>
  <c r="L5" i="20"/>
  <c r="I6" i="20"/>
  <c r="J6" i="20"/>
  <c r="K6" i="20"/>
  <c r="L6" i="20"/>
  <c r="I7" i="20"/>
  <c r="J7" i="20"/>
  <c r="K7" i="20"/>
  <c r="L7" i="20"/>
  <c r="I8" i="20"/>
  <c r="J8" i="20"/>
  <c r="K8" i="20"/>
  <c r="L8" i="20"/>
  <c r="I9" i="20"/>
  <c r="J9" i="20"/>
  <c r="K9" i="20"/>
  <c r="L9" i="20"/>
  <c r="H6" i="20"/>
  <c r="H7" i="20"/>
  <c r="H8" i="20"/>
  <c r="H9" i="20"/>
  <c r="H5" i="20"/>
  <c r="N2" i="1"/>
  <c r="A69" i="5"/>
  <c r="A89" i="5"/>
  <c r="A97" i="5"/>
  <c r="A105" i="5"/>
  <c r="A175" i="5"/>
  <c r="A179" i="5"/>
  <c r="B263" i="5"/>
  <c r="B264" i="5"/>
  <c r="B265" i="5"/>
  <c r="B266" i="5"/>
  <c r="B267" i="5"/>
  <c r="B268" i="5"/>
  <c r="B269" i="5"/>
  <c r="M2" i="1"/>
  <c r="O2401" i="1" a="1"/>
  <c r="O2401" i="1" s="1"/>
  <c r="N2401" i="1"/>
  <c r="M2401" i="1"/>
  <c r="O2400" i="1" a="1"/>
  <c r="O2400" i="1" s="1"/>
  <c r="N2400" i="1"/>
  <c r="M2400" i="1"/>
  <c r="O2399" i="1" a="1"/>
  <c r="O2399" i="1" s="1"/>
  <c r="N2399" i="1"/>
  <c r="M2399" i="1"/>
  <c r="O2398" i="1" a="1"/>
  <c r="O2398" i="1" s="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c r="O2356" i="1" a="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c r="O2326" i="1" a="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c r="O2288" i="1" a="1"/>
  <c r="N2288" i="1"/>
  <c r="M2288" i="1"/>
  <c r="O2287" i="1" a="1"/>
  <c r="O2287" i="1" s="1"/>
  <c r="N2287" i="1"/>
  <c r="M2287" i="1"/>
  <c r="O2286" i="1"/>
  <c r="O2286" i="1" a="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c r="O2266" i="1" a="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c r="O2197" i="1" a="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c r="O2155" i="1" a="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c r="O2099" i="1" a="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c r="O2013" i="1" a="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c r="O1972" i="1" a="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c r="O1902" i="1" a="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c r="O1803" i="1" a="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c r="O1793" i="1" a="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c r="O1754" i="1" a="1"/>
  <c r="N1754" i="1"/>
  <c r="M1754" i="1"/>
  <c r="O1753" i="1" a="1"/>
  <c r="O1753" i="1" s="1"/>
  <c r="N1753" i="1"/>
  <c r="M1753" i="1"/>
  <c r="O1752" i="1" a="1"/>
  <c r="O1752" i="1" s="1"/>
  <c r="N1752" i="1"/>
  <c r="M1752" i="1"/>
  <c r="O1751" i="1"/>
  <c r="O1751" i="1" a="1"/>
  <c r="N1751" i="1"/>
  <c r="M1751" i="1"/>
  <c r="O1750" i="1" a="1"/>
  <c r="O1750" i="1" s="1"/>
  <c r="N1750" i="1"/>
  <c r="M1750" i="1"/>
  <c r="O1749" i="1" a="1"/>
  <c r="O1749" i="1" s="1"/>
  <c r="N1749" i="1"/>
  <c r="M1749" i="1"/>
  <c r="O1748" i="1" a="1"/>
  <c r="O1748" i="1" s="1"/>
  <c r="N1748" i="1"/>
  <c r="M1748" i="1"/>
  <c r="O1747" i="1"/>
  <c r="O1747" i="1" a="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a="1"/>
  <c r="O1718" i="1" s="1"/>
  <c r="N1718" i="1"/>
  <c r="M1718" i="1"/>
  <c r="O1717" i="1"/>
  <c r="O1717" i="1" a="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a="1"/>
  <c r="O1627" i="1" s="1"/>
  <c r="N1627" i="1"/>
  <c r="M1627" i="1"/>
  <c r="O1626" i="1"/>
  <c r="O1626" i="1" a="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c r="O1604" i="1" a="1"/>
  <c r="N1604" i="1"/>
  <c r="M1604" i="1"/>
  <c r="O1603" i="1" a="1"/>
  <c r="O1603" i="1" s="1"/>
  <c r="N1603" i="1"/>
  <c r="M1603" i="1"/>
  <c r="O1602" i="1" a="1"/>
  <c r="O1602" i="1" s="1"/>
  <c r="N1602" i="1"/>
  <c r="M1602" i="1"/>
  <c r="O1601" i="1"/>
  <c r="O1601" i="1" a="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c r="O1460" i="1" a="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c r="O1409" i="1" a="1"/>
  <c r="N1409" i="1"/>
  <c r="M1409" i="1"/>
  <c r="O1408" i="1" a="1"/>
  <c r="O1408" i="1" s="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c r="O1387" i="1" a="1"/>
  <c r="N1387" i="1"/>
  <c r="M1387" i="1"/>
  <c r="O1386" i="1" a="1"/>
  <c r="O1386" i="1" s="1"/>
  <c r="N1386" i="1"/>
  <c r="M1386" i="1"/>
  <c r="O1385" i="1" a="1"/>
  <c r="O1385" i="1" s="1"/>
  <c r="N1385" i="1"/>
  <c r="M1385" i="1"/>
  <c r="O1384" i="1" a="1"/>
  <c r="O1384" i="1" s="1"/>
  <c r="N1384" i="1"/>
  <c r="M1384" i="1"/>
  <c r="O1383" i="1" a="1"/>
  <c r="O1383" i="1" s="1"/>
  <c r="N1383" i="1"/>
  <c r="M1383" i="1"/>
  <c r="O1382" i="1"/>
  <c r="O1382" i="1" a="1"/>
  <c r="N1382" i="1"/>
  <c r="M1382" i="1"/>
  <c r="O1381" i="1"/>
  <c r="O1381" i="1" a="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c r="O1362" i="1" a="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c r="O1316" i="1" a="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c r="O1281" i="1" a="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a="1"/>
  <c r="O1141" i="1" s="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a="1"/>
  <c r="O1098" i="1" s="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c r="O1077" i="1" a="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c r="O895" i="1" a="1"/>
  <c r="N895" i="1"/>
  <c r="M895" i="1"/>
  <c r="O894" i="1" a="1"/>
  <c r="O894" i="1" s="1"/>
  <c r="N894" i="1"/>
  <c r="M894" i="1"/>
  <c r="O893" i="1" a="1"/>
  <c r="O893" i="1" s="1"/>
  <c r="N893" i="1"/>
  <c r="M893" i="1"/>
  <c r="O892" i="1" a="1"/>
  <c r="O892" i="1" s="1"/>
  <c r="N892" i="1"/>
  <c r="M892" i="1"/>
  <c r="O891" i="1"/>
  <c r="O891" i="1" a="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c r="O823" i="1" a="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c r="O814" i="1" a="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c r="O737" i="1" a="1"/>
  <c r="N737" i="1"/>
  <c r="M737" i="1"/>
  <c r="O736" i="1" a="1"/>
  <c r="O736" i="1" s="1"/>
  <c r="N736" i="1"/>
  <c r="M736" i="1"/>
  <c r="O735" i="1"/>
  <c r="O735" i="1" a="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a="1"/>
  <c r="O711" i="1" s="1"/>
  <c r="N711" i="1"/>
  <c r="M711" i="1"/>
  <c r="O710" i="1" a="1"/>
  <c r="O710" i="1" s="1"/>
  <c r="N710" i="1"/>
  <c r="M710" i="1"/>
  <c r="O709" i="1" a="1"/>
  <c r="O709" i="1" s="1"/>
  <c r="N709" i="1"/>
  <c r="M709" i="1"/>
  <c r="O708" i="1"/>
  <c r="O708" i="1" a="1"/>
  <c r="N708" i="1"/>
  <c r="M708" i="1"/>
  <c r="O707" i="1" a="1"/>
  <c r="O707" i="1" s="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c r="O692" i="1" a="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c r="O682" i="1" a="1"/>
  <c r="N682" i="1"/>
  <c r="M682" i="1"/>
  <c r="O681" i="1" a="1"/>
  <c r="O681" i="1" s="1"/>
  <c r="N681" i="1"/>
  <c r="M681" i="1"/>
  <c r="O680" i="1" a="1"/>
  <c r="O680" i="1" s="1"/>
  <c r="N680" i="1"/>
  <c r="M680" i="1"/>
  <c r="O679" i="1"/>
  <c r="O679" i="1" a="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c r="O596" i="1" a="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c r="O570" i="1" a="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c r="O560" i="1" a="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c r="O541" i="1" a="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c r="O496" i="1" a="1"/>
  <c r="N496" i="1"/>
  <c r="M496" i="1"/>
  <c r="O495" i="1" a="1"/>
  <c r="O495" i="1" s="1"/>
  <c r="N495" i="1"/>
  <c r="M495" i="1"/>
  <c r="O494" i="1"/>
  <c r="O494" i="1" a="1"/>
  <c r="N494" i="1"/>
  <c r="M494" i="1"/>
  <c r="O493" i="1" a="1"/>
  <c r="O493" i="1" s="1"/>
  <c r="N493" i="1"/>
  <c r="M493" i="1"/>
  <c r="O492" i="1" a="1"/>
  <c r="O492" i="1" s="1"/>
  <c r="N492" i="1"/>
  <c r="M492" i="1"/>
  <c r="O491" i="1" a="1"/>
  <c r="O491" i="1" s="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a="1"/>
  <c r="O483" i="1" s="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c r="O475" i="1" a="1"/>
  <c r="N475" i="1"/>
  <c r="M475" i="1"/>
  <c r="O474" i="1" a="1"/>
  <c r="O474" i="1" s="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c r="O447" i="1" a="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c r="O420" i="1" a="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c r="O402" i="1" a="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c r="O347" i="1" a="1"/>
  <c r="N347" i="1"/>
  <c r="M347" i="1"/>
  <c r="O346" i="1" a="1"/>
  <c r="O346" i="1" s="1"/>
  <c r="N346" i="1"/>
  <c r="M346" i="1"/>
  <c r="O345" i="1" a="1"/>
  <c r="O345" i="1" s="1"/>
  <c r="N345" i="1"/>
  <c r="M345" i="1"/>
  <c r="O344" i="1" a="1"/>
  <c r="O344" i="1" s="1"/>
  <c r="N344" i="1"/>
  <c r="M344" i="1"/>
  <c r="O343" i="1"/>
  <c r="O343" i="1" a="1"/>
  <c r="N343" i="1"/>
  <c r="M343" i="1"/>
  <c r="O342" i="1" a="1"/>
  <c r="O342" i="1" s="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c r="O302" i="1" a="1"/>
  <c r="N302" i="1"/>
  <c r="M302" i="1"/>
  <c r="O301" i="1" a="1"/>
  <c r="O301" i="1" s="1"/>
  <c r="N301" i="1"/>
  <c r="M301" i="1"/>
  <c r="O300" i="1" a="1"/>
  <c r="O300" i="1" s="1"/>
  <c r="N300" i="1"/>
  <c r="M300" i="1"/>
  <c r="O299" i="1" a="1"/>
  <c r="O299" i="1" s="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c r="O124" i="1" a="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<sst xmlns="http://schemas.openxmlformats.org/spreadsheetml/2006/main" count="14909" uniqueCount="2691">
  <si>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</si>
  <si>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</si>
  <si>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</si>
  <si>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</si>
  <si>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</si>
  <si>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</si>
  <si>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</si>
  <si>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</si>
  <si>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</si>
  <si>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</si>
  <si>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</si>
  <si>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</si>
  <si>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</si>
  <si>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</si>
  <si>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</si>
  <si>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</si>
  <si>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</si>
  <si>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</si>
  <si>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</si>
  <si>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</si>
  <si>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</si>
  <si>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</si>
  <si>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</si>
  <si>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</si>
  <si>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</si>
  <si>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</si>
  <si>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</si>
  <si>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</si>
  <si>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</si>
  <si>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</si>
  <si>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</si>
  <si>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</si>
  <si>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</si>
  <si>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</si>
  <si>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</si>
  <si>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</si>
  <si>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</si>
  <si>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</si>
  <si>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</si>
  <si>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</si>
  <si>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</si>
  <si>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</si>
  <si>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</si>
  <si>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</si>
  <si>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</si>
  <si>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</si>
  <si>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</si>
  <si>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</si>
  <si>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</si>
  <si>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</si>
  <si>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</si>
  <si>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</si>
  <si>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</si>
  <si>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</si>
  <si>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</si>
  <si>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</si>
  <si>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</si>
  <si>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</si>
  <si>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</si>
  <si>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</si>
  <si>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</si>
  <si>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</si>
  <si>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</si>
  <si>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</si>
  <si>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</si>
  <si>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</si>
  <si>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</si>
  <si>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</si>
  <si>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</si>
  <si>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</si>
  <si>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</si>
  <si>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</si>
  <si>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</si>
  <si>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</si>
  <si>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</si>
  <si>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</si>
  <si>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</si>
  <si>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</si>
  <si>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</si>
  <si>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</si>
  <si>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</si>
  <si>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</si>
  <si>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</si>
  <si>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</si>
  <si>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</si>
  <si>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</si>
  <si>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</si>
  <si>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</si>
  <si>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</si>
  <si>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</si>
  <si>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</si>
  <si>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</si>
  <si>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</si>
  <si>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</si>
  <si>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</si>
  <si>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</si>
  <si>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</si>
  <si>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</si>
  <si>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</si>
  <si>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</si>
  <si>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</si>
  <si>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</si>
  <si>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</si>
  <si>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</si>
  <si>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</si>
  <si>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</si>
  <si>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</si>
  <si>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</si>
  <si>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</si>
  <si>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</si>
  <si>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</si>
  <si>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</si>
  <si>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</si>
  <si>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</si>
  <si>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</si>
  <si>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</si>
  <si>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</si>
  <si>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</si>
  <si>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</si>
  <si>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</si>
  <si>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</si>
  <si>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</si>
  <si>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</si>
  <si>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</si>
  <si>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</si>
  <si>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</si>
  <si>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</si>
  <si>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</si>
  <si>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</si>
  <si>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</si>
  <si>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</si>
  <si>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</si>
  <si>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</si>
  <si>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</si>
  <si>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</si>
  <si>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</si>
  <si>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</si>
  <si>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</si>
  <si>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</si>
  <si>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</si>
  <si>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</si>
  <si>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</si>
  <si>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</si>
  <si>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</si>
  <si>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</si>
  <si>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</si>
  <si>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</si>
  <si>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</si>
  <si>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</si>
  <si>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</si>
  <si>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</si>
  <si>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</si>
  <si>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</si>
  <si>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</si>
  <si>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</si>
  <si>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</si>
  <si>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</si>
  <si>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</si>
  <si>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</si>
  <si>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</si>
  <si>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</si>
  <si>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</si>
  <si>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</si>
  <si>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</si>
  <si>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</si>
  <si>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</si>
  <si>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</si>
  <si>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</si>
  <si>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</si>
  <si>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</si>
  <si>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</si>
  <si>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</si>
  <si>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</si>
  <si>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</si>
  <si>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</si>
  <si>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</si>
  <si>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</si>
  <si>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</si>
  <si>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</si>
  <si>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</si>
  <si>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</si>
  <si>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</si>
  <si>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</si>
  <si>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</si>
  <si>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</si>
  <si>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</si>
  <si>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</si>
  <si>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</si>
  <si>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</si>
  <si>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</si>
  <si>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</si>
  <si>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</si>
  <si>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</si>
  <si>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</si>
  <si>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</si>
  <si>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</si>
  <si>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</si>
  <si>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</si>
  <si>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</si>
  <si>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</si>
  <si>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</si>
  <si>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</si>
  <si>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</si>
  <si>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</si>
  <si>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</si>
  <si>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</si>
  <si>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</si>
  <si>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</si>
  <si>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</si>
  <si>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</si>
  <si>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</si>
  <si>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</si>
  <si>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</si>
  <si>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</si>
  <si>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</si>
  <si>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</si>
  <si>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</si>
  <si>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</si>
  <si>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</si>
  <si>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</si>
  <si>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</si>
  <si>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</si>
  <si>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</si>
  <si>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</si>
  <si>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</si>
  <si>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</si>
  <si>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</si>
  <si>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</si>
  <si>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</si>
  <si>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</si>
  <si>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</si>
  <si>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</si>
  <si>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</si>
  <si>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</si>
  <si>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</si>
  <si>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</si>
  <si>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</si>
  <si>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</si>
  <si>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</si>
  <si>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</si>
  <si>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</si>
  <si>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</si>
  <si>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</si>
  <si>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</si>
  <si>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</si>
  <si>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</si>
  <si>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</si>
  <si>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</si>
  <si>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</si>
  <si>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</si>
  <si>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</si>
  <si>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</si>
  <si>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</si>
  <si>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</si>
  <si>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</si>
  <si>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</si>
  <si>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</si>
  <si>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</si>
  <si>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</si>
  <si>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</si>
  <si>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</si>
  <si>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</si>
  <si>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</si>
  <si>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</si>
  <si>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</si>
  <si>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</si>
  <si>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</si>
  <si>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</si>
  <si>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</si>
  <si>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</si>
  <si>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</si>
  <si>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</si>
  <si>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</si>
  <si>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</si>
  <si>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</si>
  <si>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</si>
  <si>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</si>
  <si>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</si>
  <si>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</si>
  <si>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</si>
  <si>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</si>
  <si>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</si>
  <si>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</si>
  <si>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</si>
  <si>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</si>
  <si>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</si>
  <si>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</si>
  <si>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</si>
  <si>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</si>
  <si>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</si>
  <si>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</si>
  <si>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</si>
  <si>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</si>
  <si>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</si>
  <si>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</si>
  <si>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</si>
  <si>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</si>
  <si>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</si>
  <si>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</si>
  <si>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</si>
  <si>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</si>
  <si>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</si>
  <si>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</si>
  <si>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</si>
  <si>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</si>
  <si>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</si>
  <si>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</si>
  <si>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</si>
  <si>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</si>
  <si>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</si>
  <si>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</si>
  <si>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</si>
  <si>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</si>
  <si>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</si>
  <si>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</si>
  <si>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</si>
  <si>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</si>
  <si>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</si>
  <si>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</si>
  <si>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</si>
  <si>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</si>
  <si>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</si>
  <si>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</si>
  <si>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</si>
  <si>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</si>
  <si>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</si>
  <si>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</si>
  <si>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</si>
  <si>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</si>
  <si>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</si>
  <si>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</si>
  <si>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</si>
  <si>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</si>
  <si>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</si>
  <si>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</si>
  <si>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</si>
  <si>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</si>
  <si>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</si>
  <si>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</si>
  <si>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</si>
  <si>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</si>
  <si>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</si>
  <si>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</si>
  <si>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</si>
  <si>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</si>
  <si>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</si>
  <si>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</si>
  <si>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</si>
  <si>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</si>
  <si>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</si>
  <si>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</si>
  <si>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</si>
  <si>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</si>
  <si>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</si>
  <si>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</si>
  <si>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</si>
  <si>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</si>
  <si>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</si>
  <si>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</si>
  <si>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</si>
  <si>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</si>
  <si>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</si>
  <si>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</si>
  <si>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</si>
  <si>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</si>
  <si>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</si>
  <si>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</si>
  <si>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</si>
  <si>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</si>
  <si>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</si>
  <si>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</si>
  <si>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</si>
  <si>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</si>
  <si>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</si>
  <si>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</si>
  <si>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</si>
  <si>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</si>
  <si>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</si>
  <si>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</si>
  <si>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</si>
  <si>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</si>
  <si>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</si>
  <si>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</si>
  <si>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</si>
  <si>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</si>
  <si>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</si>
  <si>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</si>
  <si>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</si>
  <si>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</si>
  <si>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</si>
  <si>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</si>
  <si>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</si>
  <si>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</si>
  <si>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</si>
  <si>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</si>
  <si>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</si>
  <si>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</si>
  <si>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</si>
  <si>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</si>
  <si>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</si>
  <si>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</si>
  <si>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</si>
  <si>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</si>
  <si>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</si>
  <si>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</si>
  <si>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</si>
  <si>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</si>
  <si>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</si>
  <si>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</si>
  <si>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</si>
  <si>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</si>
  <si>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</si>
  <si>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</si>
  <si>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</si>
  <si>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</si>
  <si>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</si>
  <si>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</si>
  <si>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</si>
  <si>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</si>
  <si>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</si>
  <si>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</si>
  <si>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</si>
  <si>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</si>
  <si>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</si>
  <si>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</si>
  <si>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</si>
  <si>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</si>
  <si>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</si>
  <si>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</si>
  <si>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</si>
  <si>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</si>
  <si>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</si>
  <si>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</si>
  <si>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</si>
  <si>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</si>
  <si>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</si>
  <si>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</si>
  <si>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</si>
  <si>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</si>
  <si>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</si>
  <si>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</si>
  <si>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</si>
  <si>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</si>
  <si>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</si>
  <si>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</si>
  <si>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</si>
  <si>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</si>
  <si>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</si>
  <si>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</si>
  <si>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</si>
  <si>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</si>
  <si>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</si>
  <si>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</si>
  <si>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</si>
  <si>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</si>
  <si>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</si>
  <si>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</si>
  <si>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</si>
  <si>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</si>
  <si>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</si>
  <si>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</si>
  <si>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</si>
  <si>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</si>
  <si>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</si>
  <si>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</si>
  <si>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</si>
  <si>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</si>
  <si>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</si>
  <si>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</si>
  <si>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</si>
  <si>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</si>
  <si>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</si>
  <si>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</si>
  <si>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</si>
  <si>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</si>
  <si>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</si>
  <si>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</si>
  <si>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</si>
  <si>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</si>
  <si>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</si>
  <si>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</si>
  <si>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</si>
  <si>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</si>
  <si>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</si>
  <si>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</si>
  <si>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</si>
  <si>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</si>
  <si>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</si>
  <si>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</si>
  <si>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</si>
  <si>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</si>
  <si>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</si>
  <si>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</si>
  <si>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</si>
  <si>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</si>
  <si>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</si>
  <si>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</si>
  <si>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</si>
  <si>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</si>
  <si>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</si>
  <si>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</si>
  <si>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</si>
  <si>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</si>
  <si>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</si>
  <si>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</si>
  <si>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</si>
  <si>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</si>
  <si>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</si>
  <si>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</si>
  <si>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</si>
  <si>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</si>
  <si>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</si>
  <si>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</si>
  <si>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</si>
  <si>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</si>
  <si>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</si>
  <si>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</si>
  <si>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</si>
  <si>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</si>
  <si>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</si>
  <si>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</si>
  <si>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</si>
  <si>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</si>
  <si>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</si>
  <si>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</si>
  <si>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</si>
  <si>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</si>
  <si>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</si>
  <si>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</si>
  <si>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</si>
  <si>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</si>
  <si>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</si>
  <si>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</si>
  <si>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</si>
  <si>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</si>
  <si>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</si>
  <si>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</si>
  <si>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</si>
  <si>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</si>
  <si>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</si>
  <si>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</si>
  <si>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</si>
  <si>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</si>
  <si>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</si>
  <si>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</si>
  <si>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</si>
  <si>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</si>
  <si>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</si>
  <si>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</si>
  <si>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</si>
  <si>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</si>
  <si>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</si>
  <si>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</si>
  <si>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</si>
  <si>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</si>
  <si>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</si>
  <si>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</si>
  <si>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</si>
  <si>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</si>
  <si>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</si>
  <si>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</si>
  <si>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</si>
  <si>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</si>
  <si>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</si>
  <si>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</si>
  <si>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</si>
  <si>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</si>
  <si>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</si>
  <si>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</si>
  <si>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</si>
  <si>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</si>
  <si>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</si>
  <si>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</si>
  <si>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</si>
  <si>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</si>
  <si>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</si>
  <si>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</si>
  <si>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</si>
  <si>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</si>
  <si>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</si>
  <si>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</si>
  <si>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</si>
  <si>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</si>
  <si>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</si>
  <si>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</si>
  <si>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</si>
  <si>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</si>
  <si>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</si>
  <si>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</si>
  <si>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</si>
  <si>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</si>
  <si>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</si>
  <si>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</si>
  <si>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</si>
  <si>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</si>
  <si>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</si>
  <si>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</si>
  <si>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</si>
  <si>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</si>
  <si>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</si>
  <si>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</si>
  <si>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</si>
  <si>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</si>
  <si>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</si>
  <si>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</si>
  <si>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</si>
  <si>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</si>
  <si>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</si>
  <si>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</si>
  <si>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</si>
  <si>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</si>
  <si>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</si>
  <si>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</si>
  <si>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</si>
  <si>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</si>
  <si>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</si>
  <si>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</si>
  <si>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</si>
  <si>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</si>
  <si>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</si>
  <si>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</si>
  <si>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</si>
  <si>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</si>
  <si>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</si>
  <si>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</si>
  <si>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</si>
  <si>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</si>
  <si>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</si>
  <si>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</si>
  <si>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</si>
  <si>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</si>
  <si>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</si>
  <si>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</si>
  <si>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</si>
  <si>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</si>
  <si>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</si>
  <si>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</si>
  <si>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</si>
  <si>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</si>
  <si>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</si>
  <si>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</si>
  <si>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</si>
  <si>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</si>
  <si>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</si>
  <si>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</si>
  <si>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</si>
  <si>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</si>
  <si>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</si>
  <si>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</si>
  <si>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</si>
  <si>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</si>
  <si>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</si>
  <si>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</si>
  <si>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</si>
  <si>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</si>
  <si>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</si>
  <si>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</si>
  <si>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</si>
  <si>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</si>
  <si>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</si>
  <si>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</si>
  <si>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</si>
  <si>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</si>
  <si>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</si>
  <si>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</si>
  <si>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</si>
  <si>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</si>
  <si>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</si>
  <si>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</si>
  <si>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</si>
  <si>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</si>
  <si>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</si>
  <si>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</si>
  <si>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</si>
  <si>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</si>
  <si>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</si>
  <si>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</si>
  <si>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</si>
  <si>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</si>
  <si>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</si>
  <si>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</si>
  <si>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</si>
  <si>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</si>
  <si>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</si>
  <si>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</si>
  <si>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</si>
  <si>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</si>
  <si>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</si>
  <si>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</si>
  <si>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</si>
  <si>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</si>
  <si>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</si>
  <si>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</si>
  <si>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</si>
  <si>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</si>
  <si>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</si>
  <si>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</si>
  <si>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</si>
  <si>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</si>
  <si>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</si>
  <si>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</si>
  <si>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</si>
  <si>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</si>
  <si>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</si>
  <si>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</si>
  <si>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</si>
  <si>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</si>
  <si>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</si>
  <si>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</si>
  <si>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</si>
  <si>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</si>
  <si>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</si>
  <si>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</si>
  <si>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</si>
  <si>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</si>
  <si>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</si>
  <si>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</si>
  <si>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</si>
  <si>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</si>
  <si>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</si>
  <si>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</si>
  <si>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</si>
  <si>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</si>
  <si>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</si>
  <si>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</si>
  <si>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</si>
  <si>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</si>
  <si>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</si>
  <si>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</si>
  <si>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</si>
  <si>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</si>
  <si>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</si>
  <si>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</si>
  <si>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</si>
  <si>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</si>
  <si>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</si>
  <si>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</si>
  <si>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</si>
  <si>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</si>
  <si>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</si>
  <si>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</si>
  <si>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</si>
  <si>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</si>
  <si>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</si>
  <si>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</si>
  <si>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</si>
  <si>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</si>
  <si>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</si>
  <si>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</si>
  <si>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</si>
  <si>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</si>
  <si>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</si>
  <si>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</si>
  <si>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</si>
  <si>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</si>
  <si>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</si>
  <si>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</si>
  <si>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</si>
  <si>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</si>
  <si>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</si>
  <si>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</si>
  <si>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</si>
  <si>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</si>
  <si>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</si>
  <si>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</si>
  <si>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</si>
  <si>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</si>
  <si>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</si>
  <si>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</si>
  <si>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</si>
  <si>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</si>
  <si>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</si>
  <si>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</si>
  <si>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</si>
  <si>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</si>
  <si>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</si>
  <si>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</si>
  <si>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</si>
  <si>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</si>
  <si>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</si>
  <si>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</si>
  <si>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</si>
  <si>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</si>
  <si>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</si>
  <si>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</si>
  <si>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</si>
  <si>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</si>
  <si>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</si>
  <si>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</si>
  <si>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</si>
  <si>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</si>
  <si>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</si>
  <si>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</si>
  <si>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</si>
  <si>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</si>
  <si>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</si>
  <si>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</si>
  <si>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</si>
  <si>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</si>
  <si>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</si>
  <si>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</si>
  <si>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</si>
  <si>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</si>
  <si>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</si>
  <si>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</si>
  <si>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</si>
  <si>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</si>
  <si>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</si>
  <si>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</si>
  <si>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</si>
  <si>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</si>
  <si>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</si>
  <si>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</si>
  <si>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</si>
  <si>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</si>
  <si>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</si>
  <si>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</si>
  <si>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</si>
  <si>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</si>
  <si>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</si>
  <si>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</si>
  <si>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</si>
  <si>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</si>
  <si>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</si>
  <si>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</si>
  <si>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</si>
  <si>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</si>
  <si>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</si>
  <si>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</si>
  <si>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</si>
  <si>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</si>
  <si>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</si>
  <si>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</si>
  <si>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</si>
  <si>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</si>
  <si>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</si>
  <si>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</si>
  <si>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</si>
  <si>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</si>
  <si>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</si>
  <si>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</si>
  <si>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</si>
  <si>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</si>
  <si>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</si>
  <si>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</si>
  <si>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</si>
  <si>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</si>
  <si>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</si>
  <si>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</si>
  <si>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</si>
  <si>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</si>
  <si>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</si>
  <si>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</si>
  <si>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</si>
  <si>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</si>
  <si>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</si>
  <si>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</si>
  <si>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</si>
  <si>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</si>
  <si>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</si>
  <si>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</si>
  <si>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</si>
  <si>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</si>
  <si>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</si>
  <si>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</si>
  <si>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</si>
  <si>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</si>
  <si>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</si>
  <si>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</si>
  <si>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</si>
  <si>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</si>
  <si>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</si>
  <si>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</si>
  <si>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</si>
  <si>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</si>
  <si>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</si>
  <si>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</si>
  <si>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</si>
  <si>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</si>
  <si>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</si>
  <si>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</si>
  <si>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</si>
  <si>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</si>
  <si>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</si>
  <si>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</si>
  <si>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</si>
  <si>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</si>
  <si>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</si>
  <si>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</si>
  <si>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</si>
  <si>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</si>
  <si>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</si>
  <si>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</si>
  <si>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</si>
  <si>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</si>
  <si>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</si>
  <si>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</si>
  <si>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</si>
  <si>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</si>
  <si>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</si>
  <si>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</si>
  <si>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</si>
  <si>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</si>
  <si>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</si>
  <si>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</si>
  <si>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</si>
  <si>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</si>
  <si>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</si>
  <si>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</si>
  <si>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</si>
  <si>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</si>
  <si>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</si>
  <si>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</si>
  <si>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</si>
  <si>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</si>
  <si>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</si>
  <si>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</si>
  <si>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</si>
  <si>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</si>
  <si>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</si>
  <si>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</si>
  <si>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</si>
  <si>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</si>
  <si>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</si>
  <si>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</si>
  <si>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</si>
  <si>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</si>
  <si>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</si>
  <si>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</si>
  <si>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</si>
  <si>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</si>
  <si>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</si>
  <si>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</si>
  <si>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</si>
  <si>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</si>
  <si>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</si>
  <si>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</si>
  <si>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</si>
  <si>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</si>
  <si>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</si>
  <si>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</si>
  <si>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</si>
  <si>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</si>
  <si>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</si>
  <si>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</si>
  <si>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</si>
  <si>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</si>
  <si>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</si>
  <si>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</si>
  <si>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</si>
  <si>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</si>
  <si>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</si>
  <si>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</si>
  <si>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</si>
  <si>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</si>
  <si>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</si>
  <si>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</si>
  <si>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</si>
  <si>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</si>
  <si>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</si>
  <si>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</si>
  <si>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</si>
  <si>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</si>
  <si>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</si>
  <si>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</si>
  <si>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</si>
  <si>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</si>
  <si>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</si>
  <si>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</si>
  <si>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</si>
  <si>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</si>
  <si>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</si>
  <si>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</si>
  <si>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</si>
  <si>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</si>
  <si>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</si>
  <si>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</si>
  <si>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</si>
  <si>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</si>
  <si>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</si>
  <si>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</si>
  <si>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</si>
  <si>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</si>
  <si>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</si>
  <si>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</si>
  <si>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</si>
  <si>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</si>
  <si>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</si>
  <si>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</si>
  <si>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</si>
  <si>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</si>
  <si>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</si>
  <si>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</si>
  <si>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</si>
  <si>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</si>
  <si>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</si>
  <si>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</si>
  <si>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</si>
  <si>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</si>
  <si>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</si>
  <si>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</si>
  <si>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</si>
  <si>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</si>
  <si>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</si>
  <si>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</si>
  <si>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</si>
  <si>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</si>
  <si>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</si>
  <si>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</si>
  <si>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</si>
  <si>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</si>
  <si>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</si>
  <si>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</si>
  <si>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</si>
  <si>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</si>
  <si>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</si>
  <si>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</si>
  <si>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</si>
  <si>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</si>
  <si>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</si>
  <si>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</si>
  <si>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</si>
  <si>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</si>
  <si>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</si>
  <si>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</si>
  <si>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</si>
  <si>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</si>
  <si>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</si>
  <si>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</si>
  <si>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</si>
  <si>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</si>
  <si>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</si>
  <si>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</si>
  <si>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</si>
  <si>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</si>
  <si>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</si>
  <si>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</si>
  <si>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</si>
  <si>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</si>
  <si>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</si>
  <si>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</si>
  <si>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</si>
  <si>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</si>
  <si>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</si>
  <si>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</si>
  <si>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</si>
  <si>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</si>
  <si>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</si>
  <si>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</si>
  <si>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</si>
  <si>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</si>
  <si>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</si>
  <si>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</si>
  <si>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</si>
  <si>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</si>
  <si>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</si>
  <si>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</si>
  <si>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</si>
  <si>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</si>
  <si>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</si>
  <si>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</si>
  <si>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</si>
  <si>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</si>
  <si>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</si>
  <si>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</si>
  <si>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</si>
  <si>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</si>
  <si>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</si>
  <si>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</si>
  <si>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</si>
  <si>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</si>
  <si>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</si>
  <si>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</si>
  <si>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</si>
  <si>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</si>
  <si>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</si>
  <si>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</si>
  <si>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</si>
  <si>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</si>
  <si>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</si>
  <si>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</si>
  <si>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</si>
  <si>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</si>
  <si>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</si>
  <si>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</si>
  <si>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</si>
  <si>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</si>
  <si>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</si>
  <si>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</si>
  <si>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</si>
  <si>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</si>
  <si>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</si>
  <si>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</si>
  <si>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</si>
  <si>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</si>
  <si>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</si>
  <si>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</si>
  <si>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</si>
  <si>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</si>
  <si>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</si>
  <si>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</si>
  <si>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</si>
  <si>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</si>
  <si>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</si>
  <si>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</si>
  <si>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</si>
  <si>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</si>
  <si>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</si>
  <si>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</si>
  <si>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</si>
  <si>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</si>
  <si>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</si>
  <si>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</si>
  <si>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</si>
  <si>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</si>
  <si>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</si>
  <si>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</si>
  <si>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</si>
  <si>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</si>
  <si>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</si>
  <si>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</si>
  <si>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</si>
  <si>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</si>
  <si>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</si>
  <si>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</si>
  <si>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</si>
  <si>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</si>
  <si>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</si>
  <si>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</si>
  <si>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</si>
  <si>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</si>
  <si>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</si>
  <si>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</si>
  <si>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</si>
  <si>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</si>
  <si>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</si>
  <si>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</si>
  <si>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</si>
  <si>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</si>
  <si>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</si>
  <si>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</si>
  <si>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</si>
  <si>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</si>
  <si>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</si>
  <si>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</si>
  <si>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</si>
  <si>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</si>
  <si>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</si>
  <si>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</si>
  <si>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</si>
  <si>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</si>
  <si>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</si>
  <si>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</si>
  <si>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</si>
  <si>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</si>
  <si>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</si>
  <si>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</si>
  <si>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</si>
  <si>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</si>
  <si>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</si>
  <si>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</si>
  <si>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</si>
  <si>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</si>
  <si>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</si>
  <si>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</si>
  <si>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</si>
  <si>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</si>
  <si>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</si>
  <si>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</si>
  <si>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</si>
  <si>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</si>
  <si>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</si>
  <si>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</si>
  <si>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</si>
  <si>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</si>
  <si>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</si>
  <si>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</si>
  <si>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</si>
  <si>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</si>
  <si>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</si>
  <si>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</si>
  <si>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</si>
  <si>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</si>
  <si>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</si>
  <si>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</si>
  <si>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</si>
  <si>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</si>
  <si>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</si>
  <si>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</si>
  <si>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</si>
  <si>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</si>
  <si>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</si>
  <si>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</si>
  <si>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</si>
  <si>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</si>
  <si>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</si>
  <si>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</si>
  <si>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</si>
  <si>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</si>
  <si>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</si>
  <si>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</si>
  <si>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</si>
  <si>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</si>
  <si>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</si>
  <si>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</si>
  <si>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</si>
  <si>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</si>
  <si>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</si>
  <si>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</si>
  <si>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</si>
  <si>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</si>
  <si>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</si>
  <si>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</si>
  <si>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</si>
  <si>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</si>
  <si>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</si>
  <si>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</si>
  <si>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</si>
  <si>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</si>
  <si>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</si>
  <si>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</si>
  <si>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</si>
  <si>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</si>
  <si>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</si>
  <si>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</si>
  <si>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</si>
  <si>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</si>
  <si>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</si>
  <si>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</si>
  <si>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</si>
  <si>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</si>
  <si>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</si>
  <si>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</si>
  <si>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</si>
  <si>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</si>
  <si>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</si>
  <si>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</si>
  <si>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</si>
  <si>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</si>
  <si>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</si>
  <si>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</si>
  <si>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</si>
  <si>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</si>
  <si>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</si>
  <si>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</si>
  <si>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</si>
  <si>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</si>
  <si>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</si>
  <si>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</si>
  <si>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</si>
  <si>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</si>
  <si>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</si>
  <si>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</si>
  <si>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</si>
  <si>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</si>
  <si>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</si>
  <si>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</si>
  <si>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</si>
  <si>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</si>
  <si>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</si>
  <si>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</si>
  <si>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</si>
  <si>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</si>
  <si>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</si>
  <si>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</si>
  <si>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</si>
  <si>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</si>
  <si>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</si>
  <si>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</si>
  <si>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</si>
  <si>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</si>
  <si>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</si>
  <si>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</si>
  <si>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</si>
  <si>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</si>
  <si>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</si>
  <si>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</si>
  <si>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</si>
  <si>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</si>
  <si>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</si>
  <si>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</si>
  <si>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</si>
  <si>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</si>
  <si>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</si>
  <si>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</si>
  <si>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</si>
  <si>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</si>
  <si>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</si>
  <si>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</si>
  <si>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</si>
  <si>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</si>
  <si>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</si>
  <si>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</si>
  <si>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</si>
  <si>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</si>
  <si>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</si>
  <si>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</si>
  <si>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</si>
  <si>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</si>
  <si>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</si>
  <si>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</si>
  <si>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</si>
  <si>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</si>
  <si>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</si>
  <si>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</si>
  <si>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</si>
  <si>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</si>
  <si>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</si>
  <si>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</si>
  <si>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</si>
  <si>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</si>
  <si>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</si>
  <si>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</si>
  <si>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</si>
  <si>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</si>
  <si>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</si>
  <si>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</si>
  <si>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</si>
  <si>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</si>
  <si>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</si>
  <si>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</si>
  <si>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</si>
  <si>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</si>
  <si>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</si>
  <si>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</si>
  <si>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</si>
  <si>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</si>
  <si>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</si>
  <si>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</si>
  <si>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</si>
  <si>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</si>
  <si>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</si>
  <si>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</si>
  <si>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</si>
  <si>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</si>
  <si>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</si>
  <si>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</si>
  <si>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</si>
  <si>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</si>
  <si>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</si>
  <si>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</si>
  <si>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</si>
  <si>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</si>
  <si>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</si>
  <si>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</si>
  <si>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</si>
  <si>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</si>
  <si>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</si>
  <si>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</si>
  <si>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</si>
  <si>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</si>
  <si>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</si>
  <si>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</si>
  <si>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</si>
  <si>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</si>
  <si>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</si>
  <si>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</si>
  <si>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</si>
  <si>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</si>
  <si>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</si>
  <si>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</si>
  <si>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</si>
  <si>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</si>
  <si>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</si>
  <si>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</si>
  <si>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</si>
  <si>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</si>
  <si>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</si>
  <si>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</si>
  <si>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</si>
  <si>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</si>
  <si>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</si>
  <si>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</si>
  <si>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</si>
  <si>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</si>
  <si>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</si>
  <si>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</si>
  <si>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</si>
  <si>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</si>
  <si>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</si>
  <si>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</si>
  <si>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</si>
  <si>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</si>
  <si>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</si>
  <si>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</si>
  <si>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</si>
  <si>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</si>
  <si>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</si>
  <si>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</si>
  <si>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</si>
  <si>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</si>
  <si>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</si>
  <si>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</si>
  <si>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</si>
  <si>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</si>
  <si>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</si>
  <si>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</si>
  <si>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</si>
  <si>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</si>
  <si>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</si>
  <si>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</si>
  <si>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</si>
  <si>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</si>
  <si>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</si>
  <si>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</si>
  <si>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</si>
  <si>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</si>
  <si>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</si>
  <si>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</si>
  <si>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</si>
  <si>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</si>
  <si>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</si>
  <si>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</si>
  <si>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</si>
  <si>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</si>
  <si>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</si>
  <si>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</si>
  <si>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</si>
  <si>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</si>
  <si>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</si>
  <si>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</si>
  <si>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</si>
  <si>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</si>
  <si>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</si>
  <si>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</si>
  <si>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</si>
  <si>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</si>
  <si>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</si>
  <si>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</si>
  <si>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</si>
  <si>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</si>
  <si>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</si>
  <si>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</si>
  <si>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</si>
  <si>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</si>
  <si>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</si>
  <si>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</si>
  <si>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</si>
  <si>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</si>
  <si>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</si>
  <si>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</si>
  <si>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</si>
  <si>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</si>
  <si>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</si>
  <si>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</si>
  <si>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</si>
  <si>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</si>
  <si>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</si>
  <si>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</si>
  <si>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</si>
  <si>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</si>
  <si>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</si>
  <si>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</si>
  <si>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</si>
  <si>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</si>
  <si>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</si>
  <si>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</si>
  <si>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</si>
  <si>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</si>
  <si>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</si>
  <si>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</si>
  <si>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</si>
  <si>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</si>
  <si>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</si>
  <si>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</si>
  <si>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</si>
  <si>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</si>
  <si>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</si>
  <si>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</si>
  <si>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</si>
  <si>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</si>
  <si>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</si>
  <si>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</si>
  <si>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</si>
  <si>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</si>
  <si>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</si>
  <si>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</si>
  <si>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</si>
  <si>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</si>
  <si>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</si>
  <si>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</si>
  <si>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</si>
  <si>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</si>
  <si>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</si>
  <si>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</si>
  <si>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</si>
  <si>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</si>
  <si>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</si>
  <si>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</si>
  <si>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</si>
  <si>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</si>
  <si>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</si>
  <si>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</si>
  <si>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</si>
  <si>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</si>
  <si>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</si>
  <si>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</si>
  <si>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</si>
  <si>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</si>
  <si>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</si>
  <si>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</si>
  <si>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</si>
  <si>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</si>
  <si>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</si>
  <si>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</si>
  <si>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</si>
  <si>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</si>
  <si>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</si>
  <si>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</si>
  <si>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</si>
  <si>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</si>
  <si>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</si>
  <si>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</si>
  <si>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</si>
  <si>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</si>
  <si>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</si>
  <si>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</si>
  <si>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</si>
  <si>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</si>
  <si>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</si>
  <si>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</si>
  <si>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</si>
  <si>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</si>
  <si>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</si>
  <si>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</si>
  <si>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</si>
  <si>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</si>
  <si>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</si>
  <si>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</si>
  <si>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</si>
  <si>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</si>
  <si>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</si>
  <si>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</si>
  <si>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</si>
  <si>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</si>
  <si>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</si>
  <si>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</si>
  <si>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</si>
  <si>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</si>
  <si>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</si>
  <si>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</si>
  <si>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</si>
  <si>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</si>
  <si>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</si>
  <si>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</si>
  <si>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</si>
  <si>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</si>
  <si>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</si>
  <si>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</si>
  <si>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</si>
  <si>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</si>
  <si>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</si>
  <si>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</si>
  <si>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</si>
  <si>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</si>
  <si>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</si>
  <si>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</si>
  <si>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</si>
  <si>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</si>
  <si>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</si>
  <si>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</si>
  <si>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</si>
  <si>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</si>
  <si>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</si>
  <si>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</si>
  <si>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</si>
  <si>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</si>
  <si>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</si>
  <si>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</si>
  <si>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</si>
  <si>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</si>
  <si>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</si>
  <si>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</si>
  <si>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</si>
  <si>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</si>
  <si>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</si>
  <si>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</si>
  <si>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</si>
  <si>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</si>
  <si>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</si>
  <si>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</si>
  <si>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</si>
  <si>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</si>
  <si>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</si>
  <si>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</si>
  <si>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</si>
  <si>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</si>
  <si>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</si>
  <si>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</si>
  <si>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</si>
  <si>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</si>
  <si>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</si>
  <si>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</si>
  <si>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</si>
  <si>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</si>
  <si>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</si>
  <si>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</si>
  <si>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</si>
  <si>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</si>
  <si>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</si>
  <si>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</si>
  <si>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</si>
  <si>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</si>
  <si>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</si>
  <si>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</si>
  <si>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</si>
  <si>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</si>
  <si>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</si>
  <si>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</si>
  <si>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</si>
  <si>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</si>
  <si>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</si>
  <si>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</si>
  <si>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</si>
  <si>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</si>
  <si>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</si>
  <si>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</si>
  <si>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</si>
  <si>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</si>
  <si>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</si>
  <si>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</si>
  <si>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</si>
  <si>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</si>
  <si>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</si>
  <si>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</si>
  <si>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</si>
  <si>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</si>
  <si>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</si>
  <si>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</si>
  <si>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</si>
  <si>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</si>
  <si>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</si>
  <si>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</si>
  <si>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</si>
  <si>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</si>
  <si>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</si>
  <si>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</si>
  <si>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</si>
  <si>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</si>
  <si>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</si>
  <si>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</si>
  <si>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</si>
  <si>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</si>
  <si>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</si>
  <si>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</si>
  <si>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</si>
  <si>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</si>
  <si>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</si>
  <si>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</si>
  <si>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</si>
  <si>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</si>
  <si>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</si>
  <si>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</si>
  <si>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</si>
  <si>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</si>
  <si>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</si>
  <si>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</si>
  <si>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</si>
  <si>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</si>
  <si>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</si>
  <si>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</si>
  <si>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</si>
  <si>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</si>
  <si>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</si>
  <si>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</si>
  <si>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</si>
  <si>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</si>
  <si>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</si>
  <si>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</si>
  <si>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</si>
  <si>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</si>
  <si>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</si>
  <si>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</si>
  <si>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</si>
  <si>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</si>
  <si>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</si>
  <si>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</si>
  <si>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</si>
  <si>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</si>
  <si>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</si>
  <si>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</si>
  <si>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</si>
  <si>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</si>
  <si>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</si>
  <si>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</si>
  <si>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</si>
  <si>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</si>
  <si>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</si>
  <si>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</si>
  <si>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</si>
  <si>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</si>
  <si>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</si>
  <si>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</si>
  <si>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</si>
  <si>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</si>
  <si>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</si>
  <si>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</si>
  <si>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</si>
  <si>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</si>
  <si>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</si>
  <si>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</si>
  <si>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</si>
  <si>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</si>
  <si>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</si>
  <si>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</si>
  <si>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</si>
  <si>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</si>
  <si>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</si>
  <si>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</si>
  <si>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</si>
  <si>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</si>
  <si>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</si>
  <si>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</si>
  <si>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</si>
  <si>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</si>
  <si>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</si>
  <si>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</si>
  <si>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</si>
  <si>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</si>
  <si>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</si>
  <si>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</si>
  <si>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</si>
  <si>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</si>
  <si>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</si>
  <si>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</si>
  <si>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</si>
  <si>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</si>
  <si>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</si>
  <si>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</si>
  <si>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</si>
  <si>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</si>
  <si>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</si>
  <si>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</si>
  <si>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</si>
  <si>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</si>
  <si>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</si>
  <si>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</si>
  <si>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</si>
  <si>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</si>
  <si>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</si>
  <si>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</si>
  <si>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</si>
  <si>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</si>
  <si>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</si>
  <si>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</si>
  <si>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</si>
  <si>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</si>
  <si>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</si>
  <si>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</si>
  <si>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</si>
  <si>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</si>
  <si>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</si>
  <si>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</si>
  <si>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</si>
  <si>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</si>
  <si>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</si>
  <si>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</si>
  <si>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</si>
  <si>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</si>
  <si>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</si>
  <si>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</si>
  <si>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</si>
  <si>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</si>
  <si>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</si>
  <si>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</si>
  <si>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</si>
  <si>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</si>
  <si>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</si>
  <si>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</si>
  <si>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</si>
  <si>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</si>
  <si>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</si>
  <si>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</si>
  <si>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</si>
  <si>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</si>
  <si>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</si>
  <si>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</si>
  <si>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</si>
  <si>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</si>
  <si>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</si>
  <si>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</si>
  <si>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</si>
  <si>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</si>
  <si>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</si>
  <si>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</si>
  <si>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</si>
  <si>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</si>
  <si>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</si>
  <si>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</si>
  <si>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</si>
  <si>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</si>
  <si>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</si>
  <si>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</si>
  <si>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</si>
  <si>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</si>
  <si>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</si>
  <si>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</si>
  <si>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</si>
  <si>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</si>
  <si>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</si>
  <si>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</si>
  <si>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</si>
  <si>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</si>
  <si>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</si>
  <si>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</si>
  <si>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</si>
  <si>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</si>
  <si>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</si>
  <si>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</si>
  <si>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</si>
  <si>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</si>
  <si>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</si>
  <si>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</si>
  <si>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</si>
  <si>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</si>
  <si>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</si>
  <si>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</si>
  <si>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</si>
  <si>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</si>
  <si>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</si>
  <si>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</si>
  <si>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</si>
  <si>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</si>
  <si>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</si>
  <si>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</si>
  <si>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</si>
  <si>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</si>
  <si>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</si>
  <si>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</si>
  <si>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</si>
  <si>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</si>
  <si>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</si>
  <si>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</si>
  <si>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</si>
  <si>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</si>
  <si>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</si>
  <si>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</si>
  <si>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</si>
  <si>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</si>
  <si>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</si>
  <si>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</si>
  <si>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</si>
  <si>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</si>
  <si>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</si>
  <si>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</si>
  <si>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</si>
  <si>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</si>
  <si>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</si>
  <si>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</si>
  <si>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</si>
  <si>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</si>
  <si>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</si>
  <si>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</si>
  <si>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</si>
  <si>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</si>
  <si>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</si>
  <si>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</si>
  <si>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</si>
  <si>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</si>
  <si>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</si>
  <si>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</si>
  <si>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</si>
  <si>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</si>
  <si>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</si>
  <si>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</si>
  <si>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</si>
  <si>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</si>
  <si>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</si>
  <si>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</si>
  <si>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</si>
  <si>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</si>
  <si>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</si>
  <si>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</si>
  <si>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</si>
  <si>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</si>
  <si>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</si>
  <si>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</si>
  <si>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</si>
  <si>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</si>
  <si>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</si>
  <si>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</si>
  <si>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</si>
  <si>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</si>
  <si>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</si>
  <si>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</si>
  <si>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</si>
  <si>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</si>
  <si>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</si>
  <si>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</si>
  <si>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</si>
  <si>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</si>
  <si>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</si>
  <si>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</si>
  <si>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</si>
  <si>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</si>
  <si>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</si>
  <si>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</si>
  <si>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</si>
  <si>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</si>
  <si>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</si>
  <si>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</si>
  <si>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</si>
  <si>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</si>
  <si>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</si>
  <si>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</si>
  <si>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</si>
  <si>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</si>
  <si>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</si>
  <si>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</si>
  <si>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</si>
  <si>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</si>
  <si>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</si>
  <si>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</si>
  <si>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</si>
  <si>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</si>
  <si>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</si>
  <si>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</si>
  <si>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</si>
  <si>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</si>
  <si>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</si>
  <si>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</si>
  <si>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</si>
  <si>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</si>
  <si>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</si>
  <si>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</si>
  <si>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</si>
  <si>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</si>
  <si>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</si>
  <si>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</si>
  <si>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</si>
  <si>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</si>
  <si>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</si>
  <si>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</si>
  <si>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</si>
  <si>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</si>
  <si>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</si>
  <si>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</si>
  <si>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</si>
  <si>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</si>
  <si>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</si>
  <si>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</si>
  <si>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</si>
  <si>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</si>
  <si>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</si>
  <si>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</si>
  <si>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</si>
  <si>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</si>
  <si>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</si>
  <si>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</si>
  <si>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</si>
  <si>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</si>
  <si>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</si>
  <si>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</si>
  <si>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</si>
  <si>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</si>
  <si>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</si>
  <si>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</si>
  <si>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</si>
  <si>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</si>
  <si>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</si>
  <si>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</si>
  <si>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</si>
  <si>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</si>
  <si>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</si>
  <si>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</si>
  <si>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</si>
  <si>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</si>
  <si>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</si>
  <si>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</si>
  <si>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</si>
  <si>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</si>
  <si>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</si>
  <si>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</si>
  <si>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</si>
  <si>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</si>
  <si>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</si>
  <si>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</si>
  <si>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</si>
  <si>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</si>
  <si>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</si>
  <si>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</si>
  <si>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</si>
  <si>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</si>
  <si>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</si>
  <si>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</si>
  <si>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</si>
  <si>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</si>
  <si>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</si>
  <si>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</si>
  <si>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</si>
  <si>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</si>
  <si>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</si>
  <si>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</si>
  <si>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</si>
  <si>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</si>
  <si>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</si>
  <si>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</si>
  <si>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</si>
  <si>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</si>
  <si>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</si>
  <si>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</si>
  <si>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</si>
  <si>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</si>
  <si>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</si>
  <si>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</si>
  <si>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</si>
  <si>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</si>
  <si>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</si>
  <si>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</si>
  <si>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</si>
  <si>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</si>
  <si>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</si>
  <si>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</si>
  <si>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</si>
  <si>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</si>
  <si>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</si>
  <si>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</si>
  <si>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</si>
  <si>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</si>
  <si>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</si>
  <si>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</si>
  <si>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</si>
  <si>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</si>
  <si>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</si>
  <si>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</si>
  <si>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</si>
  <si>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</si>
  <si>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</si>
  <si>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</si>
  <si>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</si>
  <si>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</si>
  <si>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</si>
  <si>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</si>
  <si>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</si>
  <si>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</si>
  <si>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</si>
  <si>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</si>
  <si>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</si>
  <si>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</si>
  <si>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</si>
  <si>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</si>
  <si>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</si>
  <si>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</si>
  <si>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</si>
  <si>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</si>
  <si>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</si>
  <si>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</si>
  <si>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</si>
  <si>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</si>
  <si>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</si>
  <si>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</si>
  <si>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</si>
  <si>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</si>
  <si>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</si>
  <si>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</si>
  <si>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</si>
  <si>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</si>
  <si>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</si>
  <si>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</si>
  <si>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</si>
  <si>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</si>
  <si>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</si>
  <si>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</si>
  <si>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</si>
  <si>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</si>
  <si>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</si>
  <si>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</si>
  <si>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</si>
  <si>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</si>
  <si>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</si>
  <si>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</si>
  <si>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</si>
  <si>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</si>
  <si>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</si>
  <si>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</si>
  <si>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</si>
  <si>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</si>
  <si>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</si>
  <si>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</si>
  <si>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</si>
  <si>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</si>
  <si>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</si>
  <si>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</si>
  <si>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</si>
  <si>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</si>
  <si>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</si>
  <si>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</si>
  <si>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</si>
  <si>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</si>
  <si>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</si>
  <si>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</si>
  <si>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</si>
  <si>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</si>
  <si>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</si>
  <si>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</si>
  <si>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</si>
  <si>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</si>
  <si>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</si>
  <si>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</si>
  <si>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</si>
  <si>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</si>
  <si>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</si>
  <si>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</si>
  <si>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</si>
  <si>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</si>
  <si>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</si>
  <si>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</si>
  <si>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</si>
  <si>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</si>
  <si>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</si>
  <si>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</si>
  <si>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</si>
  <si>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</si>
  <si>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</si>
  <si>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</si>
  <si>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</si>
  <si>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</si>
  <si>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</si>
  <si>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</si>
  <si>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</si>
  <si>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</si>
  <si>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</si>
  <si>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</si>
  <si>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</si>
  <si>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</si>
  <si>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</si>
  <si>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</si>
  <si>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</si>
  <si>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</si>
  <si>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</si>
  <si>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</si>
  <si>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</si>
  <si>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</si>
  <si>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</si>
  <si>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</si>
  <si>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</si>
  <si>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</si>
  <si>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</si>
  <si>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</si>
  <si>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</si>
  <si>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</si>
  <si>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</si>
  <si>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</si>
  <si>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</si>
  <si>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</si>
  <si>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</si>
  <si>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</si>
  <si>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</si>
  <si>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</si>
  <si>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</si>
  <si>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</si>
  <si>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</si>
  <si>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</si>
  <si>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</si>
  <si>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</si>
  <si>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</si>
  <si>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</si>
  <si>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</si>
  <si>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</si>
  <si>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</si>
  <si>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</si>
  <si>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</si>
  <si>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</si>
  <si>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</si>
  <si>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</si>
  <si>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</si>
  <si>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</si>
  <si>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</si>
  <si>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</si>
  <si>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</si>
  <si>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</si>
  <si>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</si>
  <si>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</si>
  <si>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</si>
  <si>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</si>
  <si>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</si>
  <si>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</si>
  <si>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</si>
  <si>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</si>
  <si>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</si>
  <si>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</si>
  <si>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</si>
  <si>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</si>
  <si>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</si>
  <si>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</si>
  <si>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</si>
  <si>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</si>
  <si>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</si>
  <si>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</si>
  <si>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</si>
  <si>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</si>
  <si>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</si>
  <si>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</si>
  <si>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</si>
  <si>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</si>
  <si>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</si>
  <si>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</si>
  <si>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</si>
  <si>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</si>
  <si>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</si>
  <si>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</si>
  <si>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</si>
  <si>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</si>
  <si>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</si>
  <si>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</si>
  <si>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</si>
  <si>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</si>
  <si>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</si>
  <si>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</si>
  <si>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</si>
  <si>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</si>
  <si>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</si>
  <si>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</si>
  <si>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</si>
  <si>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</si>
  <si>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</si>
  <si>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</si>
  <si>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</si>
  <si>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</si>
  <si>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</si>
  <si>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</si>
  <si>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</si>
  <si>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</si>
  <si>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</si>
  <si>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</si>
  <si>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</si>
  <si>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</si>
  <si>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</si>
  <si>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</si>
  <si>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</si>
  <si>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</si>
  <si>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</si>
  <si>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</si>
  <si>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</si>
  <si>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</si>
  <si>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</si>
  <si>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</si>
  <si>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</si>
  <si>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</si>
  <si>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</si>
  <si>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</si>
  <si>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</si>
  <si>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</si>
  <si>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</si>
  <si>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</si>
  <si>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</si>
  <si>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</si>
  <si>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</si>
  <si>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</si>
  <si>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</si>
  <si>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</si>
  <si>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</si>
  <si>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</si>
  <si>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</si>
  <si>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</si>
  <si>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</si>
  <si>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</si>
  <si>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</si>
  <si>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</si>
  <si>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</si>
  <si>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</si>
  <si>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</si>
  <si>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</si>
  <si>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</si>
  <si>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</si>
  <si>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</si>
  <si>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</si>
  <si>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</si>
  <si>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</si>
  <si>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</si>
  <si>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</si>
  <si>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</si>
  <si>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</si>
  <si>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</si>
  <si>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</si>
  <si>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</si>
  <si>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</si>
  <si>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</si>
  <si>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</si>
  <si>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</si>
  <si>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</si>
  <si>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</si>
  <si>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</si>
  <si>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</si>
  <si>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</si>
  <si>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</si>
  <si>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</si>
  <si>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</si>
  <si>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</si>
  <si>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</si>
  <si>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</si>
  <si>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</si>
  <si>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</si>
  <si>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</si>
  <si>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</si>
  <si>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</si>
  <si>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</si>
  <si>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</si>
  <si>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</si>
  <si>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</si>
  <si>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</si>
  <si>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</si>
  <si>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</si>
  <si>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</si>
  <si>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</si>
  <si>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</si>
  <si>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</si>
  <si>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</si>
  <si>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</si>
  <si>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</si>
  <si>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</si>
  <si>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</si>
  <si>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</si>
  <si>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</si>
  <si>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</si>
  <si>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</si>
  <si>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</si>
  <si>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</si>
  <si>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</si>
  <si>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</si>
  <si>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</si>
  <si>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</si>
  <si>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</si>
  <si>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</si>
  <si>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</si>
  <si>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</si>
  <si>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</si>
  <si>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</si>
  <si>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</si>
  <si>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</si>
  <si>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</si>
  <si>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</si>
  <si>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</si>
  <si>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</si>
  <si>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</si>
  <si>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</si>
  <si>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</si>
  <si>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</si>
  <si>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</si>
  <si>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</si>
  <si>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</si>
  <si>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</si>
  <si>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</si>
  <si>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</si>
  <si>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</si>
  <si>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</si>
  <si>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</si>
  <si>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</si>
  <si>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</si>
  <si>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</si>
  <si>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</si>
  <si>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</si>
  <si>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</si>
  <si>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</si>
  <si>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</si>
  <si>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</si>
  <si>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</si>
  <si>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</si>
  <si>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</si>
  <si>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</si>
  <si>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</si>
  <si>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</si>
  <si>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</si>
  <si>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</si>
  <si>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</si>
  <si>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</si>
  <si>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</si>
  <si>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</si>
  <si>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</si>
  <si>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</si>
  <si>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</si>
  <si>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</si>
  <si>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</si>
  <si>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</si>
  <si>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</si>
  <si>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</si>
  <si>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</si>
  <si>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</si>
  <si>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</si>
  <si>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</si>
  <si>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</si>
  <si>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</si>
  <si>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</si>
  <si>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</si>
  <si>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</si>
  <si>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</si>
  <si>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</si>
  <si>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</si>
  <si>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</si>
  <si>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</si>
  <si>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</si>
  <si>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</si>
  <si>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</si>
  <si>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</si>
  <si>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</si>
  <si>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</si>
  <si>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</si>
  <si>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</si>
  <si>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</si>
  <si>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</si>
  <si>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</si>
  <si>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</si>
  <si>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</si>
  <si>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</si>
  <si>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</si>
  <si>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</si>
  <si>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</si>
  <si>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</si>
  <si>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</si>
  <si>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</si>
  <si>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</si>
  <si>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</si>
  <si>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</si>
  <si>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</si>
  <si>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</si>
  <si>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</si>
  <si>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</si>
  <si>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</si>
  <si>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</si>
  <si>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</si>
  <si>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</si>
  <si>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</si>
  <si>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</si>
  <si>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</si>
  <si>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</si>
  <si>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</si>
  <si>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</si>
  <si>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</si>
  <si>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</si>
  <si>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</si>
  <si>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</si>
  <si>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</si>
  <si>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</si>
  <si>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</si>
  <si>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</si>
  <si>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</si>
  <si>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</si>
  <si>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</si>
  <si>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</si>
  <si>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</si>
  <si>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</si>
  <si>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</si>
  <si>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</si>
  <si>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</si>
  <si>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</si>
  <si>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</si>
  <si>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</si>
  <si>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</si>
  <si>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</si>
  <si>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</si>
  <si>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</si>
  <si>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</si>
  <si>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</si>
  <si>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</si>
  <si>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</si>
  <si>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</si>
  <si>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</si>
  <si>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</si>
  <si>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</si>
  <si>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</si>
  <si>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</si>
  <si>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</si>
  <si>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</si>
  <si>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</si>
  <si>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</si>
  <si>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</si>
  <si>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</si>
  <si>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</si>
  <si>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</si>
  <si>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</si>
  <si>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</si>
  <si>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</si>
  <si>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</si>
  <si>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</si>
  <si>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</si>
  <si>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</si>
  <si>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</si>
  <si>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</si>
  <si>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</si>
  <si>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</si>
  <si>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</si>
  <si>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</si>
  <si>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</si>
  <si>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</si>
  <si>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</si>
  <si>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</si>
  <si>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</si>
  <si>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</si>
  <si>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</si>
  <si>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</si>
  <si>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</si>
  <si>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</si>
  <si>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</si>
  <si>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</si>
  <si>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</si>
  <si>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</si>
  <si>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</si>
  <si>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</si>
  <si>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</si>
  <si>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</si>
  <si>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</si>
  <si>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</si>
  <si>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</si>
  <si>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</si>
  <si>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</si>
  <si>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</si>
  <si>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</si>
  <si>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Questions</t>
  </si>
  <si>
    <t>Which products are popular?</t>
  </si>
  <si>
    <t>How happy are our customers?</t>
  </si>
  <si>
    <t>Average Rating</t>
  </si>
  <si>
    <t>Average Days to Deliver</t>
  </si>
  <si>
    <t>How our customers like to buy?</t>
  </si>
  <si>
    <t>10. Final Review</t>
  </si>
  <si>
    <t>5. Correct Data Types</t>
  </si>
  <si>
    <t>Name</t>
  </si>
  <si>
    <t>Rahul Kumar</t>
  </si>
  <si>
    <t>Formula:</t>
  </si>
  <si>
    <t>Steps:</t>
  </si>
  <si>
    <t>rahul kumar → RAHUL KUMAR</t>
  </si>
  <si>
    <t>RAHUL KUMAR → rahul kumar</t>
  </si>
  <si>
    <t>rahul kumar → Rahul Kumar</t>
  </si>
  <si>
    <t>June 24, 2026</t>
  </si>
  <si>
    <t>Shortcut:</t>
  </si>
  <si>
    <t>Ctrl + H</t>
  </si>
  <si>
    <t>Find:</t>
  </si>
  <si>
    <t>Male</t>
  </si>
  <si>
    <t>Option 1: Delete Rows</t>
  </si>
  <si>
    <t>Option 2: Fill with Average</t>
  </si>
  <si>
    <t>Option 3: Fill with Median</t>
  </si>
  <si>
    <t>Option 4: Fill with Text</t>
  </si>
  <si>
    <t>Not Available</t>
  </si>
  <si>
    <t>Unknown</t>
  </si>
  <si>
    <t>N/A</t>
  </si>
  <si>
    <t>Gender</t>
  </si>
  <si>
    <t>male</t>
  </si>
  <si>
    <t>FEMALE</t>
  </si>
  <si>
    <t>Female</t>
  </si>
  <si>
    <t>Male → M</t>
  </si>
  <si>
    <t>male → M</t>
  </si>
  <si>
    <t>Female → F</t>
  </si>
  <si>
    <t>female → F</t>
  </si>
  <si>
    <t>Male,Female</t>
  </si>
  <si>
    <t>Ctrl + Shift + L</t>
  </si>
  <si>
    <t>Blank values</t>
  </si>
  <si>
    <t>Negative values</t>
  </si>
  <si>
    <t>Duplicate entries</t>
  </si>
  <si>
    <t>Outliers</t>
  </si>
  <si>
    <t>Useful Data Cleaning Formulas</t>
  </si>
  <si>
    <t>Purpose</t>
  </si>
  <si>
    <t>Formula</t>
  </si>
  <si>
    <t>Replace Text</t>
  </si>
  <si>
    <t>Real Example</t>
  </si>
  <si>
    <t>Before Cleaning</t>
  </si>
  <si>
    <t>Salary</t>
  </si>
  <si>
    <t>Priya</t>
  </si>
  <si>
    <t>Amit</t>
  </si>
  <si>
    <t>After Cleaning</t>
  </si>
  <si>
    <t>Data Cleaning Workflow</t>
  </si>
  <si>
    <t>Import Data</t>
  </si>
  <si>
    <t>↓</t>
  </si>
  <si>
    <t>Remove Duplicates</t>
  </si>
  <si>
    <t>Remove Blank Cells</t>
  </si>
  <si>
    <t>Trim Spaces</t>
  </si>
  <si>
    <t>Standardize Text</t>
  </si>
  <si>
    <t>Handle Missing Values</t>
  </si>
  <si>
    <t>Final Review</t>
  </si>
  <si>
    <t>Ready for Analysis</t>
  </si>
  <si>
    <t>Excel Data Cleaning – Step-by-Step Process</t>
  </si>
  <si>
    <t>1. Remove Duplicate Data</t>
  </si>
  <si>
    <t>Duplicate data means the same record appears more than once.</t>
  </si>
  <si>
    <t>1. Select the entire dataset.</t>
  </si>
  <si>
    <r>
      <t xml:space="preserve">2. Go to the </t>
    </r>
    <r>
      <rPr>
        <b/>
        <sz val="11"/>
        <color theme="1"/>
        <rFont val="Aptos Narrow"/>
        <family val="2"/>
        <scheme val="minor"/>
      </rPr>
      <t>Data</t>
    </r>
    <r>
      <rPr>
        <sz val="11"/>
        <color theme="1"/>
        <rFont val="Aptos Narrow"/>
        <family val="2"/>
        <scheme val="minor"/>
      </rPr>
      <t xml:space="preserve"> tab.</t>
    </r>
  </si>
  <si>
    <r>
      <t xml:space="preserve">3. Click </t>
    </r>
    <r>
      <rPr>
        <b/>
        <sz val="11"/>
        <color theme="1"/>
        <rFont val="Aptos Narrow"/>
        <family val="2"/>
        <scheme val="minor"/>
      </rPr>
      <t>Remove Duplicates</t>
    </r>
    <r>
      <rPr>
        <sz val="11"/>
        <color theme="1"/>
        <rFont val="Aptos Narrow"/>
        <family val="2"/>
        <scheme val="minor"/>
      </rPr>
      <t>.</t>
    </r>
  </si>
  <si>
    <t>4. A dialog box will appear.</t>
  </si>
  <si>
    <t>5. Select the columns based on which you want to identify duplicates.</t>
  </si>
  <si>
    <r>
      <t xml:space="preserve">6. Click </t>
    </r>
    <r>
      <rPr>
        <b/>
        <sz val="11"/>
        <color theme="1"/>
        <rFont val="Aptos Narrow"/>
        <family val="2"/>
        <scheme val="minor"/>
      </rPr>
      <t>OK</t>
    </r>
    <r>
      <rPr>
        <sz val="11"/>
        <color theme="1"/>
        <rFont val="Aptos Narrow"/>
        <family val="2"/>
        <scheme val="minor"/>
      </rPr>
      <t>.</t>
    </r>
  </si>
  <si>
    <t>✅ Excel will display how many duplicate records were removed and how many unique records remain.</t>
  </si>
  <si>
    <t>2. Find and Remove Blank Cells</t>
  </si>
  <si>
    <t>To Find Blank Cells:</t>
  </si>
  <si>
    <t>1. Select the data range.</t>
  </si>
  <si>
    <r>
      <t xml:space="preserve">2. Go to </t>
    </r>
    <r>
      <rPr>
        <b/>
        <sz val="11"/>
        <color theme="1"/>
        <rFont val="Aptos Narrow"/>
        <family val="2"/>
        <scheme val="minor"/>
      </rPr>
      <t>Home → Find &amp; Select → Go To Special</t>
    </r>
    <r>
      <rPr>
        <sz val="11"/>
        <color theme="1"/>
        <rFont val="Aptos Narrow"/>
        <family val="2"/>
        <scheme val="minor"/>
      </rPr>
      <t>.</t>
    </r>
  </si>
  <si>
    <r>
      <t xml:space="preserve">3. Select </t>
    </r>
    <r>
      <rPr>
        <b/>
        <sz val="11"/>
        <color theme="1"/>
        <rFont val="Aptos Narrow"/>
        <family val="2"/>
        <scheme val="minor"/>
      </rPr>
      <t>Blanks</t>
    </r>
    <r>
      <rPr>
        <sz val="11"/>
        <color theme="1"/>
        <rFont val="Aptos Narrow"/>
        <family val="2"/>
        <scheme val="minor"/>
      </rPr>
      <t>.</t>
    </r>
  </si>
  <si>
    <r>
      <t xml:space="preserve">4. Click </t>
    </r>
    <r>
      <rPr>
        <b/>
        <sz val="11"/>
        <color theme="1"/>
        <rFont val="Aptos Narrow"/>
        <family val="2"/>
        <scheme val="minor"/>
      </rPr>
      <t>OK</t>
    </r>
    <r>
      <rPr>
        <sz val="11"/>
        <color theme="1"/>
        <rFont val="Aptos Narrow"/>
        <family val="2"/>
        <scheme val="minor"/>
      </rPr>
      <t>.</t>
    </r>
  </si>
  <si>
    <t>All blank cells will be highlighted.</t>
  </si>
  <si>
    <t>To Delete Blank Cells:</t>
  </si>
  <si>
    <t>Right-click on the selected cells.</t>
  </si>
  <si>
    <r>
      <t xml:space="preserve">Choose </t>
    </r>
    <r>
      <rPr>
        <b/>
        <sz val="11"/>
        <color theme="1"/>
        <rFont val="Aptos Narrow"/>
        <family val="2"/>
        <scheme val="minor"/>
      </rPr>
      <t>Delete</t>
    </r>
    <r>
      <rPr>
        <sz val="11"/>
        <color theme="1"/>
        <rFont val="Aptos Narrow"/>
        <family val="2"/>
        <scheme val="minor"/>
      </rPr>
      <t>.</t>
    </r>
  </si>
  <si>
    <r>
      <t xml:space="preserve">Select </t>
    </r>
    <r>
      <rPr>
        <b/>
        <sz val="11"/>
        <color theme="1"/>
        <rFont val="Aptos Narrow"/>
        <family val="2"/>
        <scheme val="minor"/>
      </rPr>
      <t>Shift Cells Up</t>
    </r>
    <r>
      <rPr>
        <sz val="11"/>
        <color theme="1"/>
        <rFont val="Aptos Narrow"/>
        <family val="2"/>
        <scheme val="minor"/>
      </rPr>
      <t xml:space="preserve"> or </t>
    </r>
    <r>
      <rPr>
        <b/>
        <sz val="11"/>
        <color theme="1"/>
        <rFont val="Aptos Narrow"/>
        <family val="2"/>
        <scheme val="minor"/>
      </rPr>
      <t>Entire Row</t>
    </r>
    <r>
      <rPr>
        <sz val="11"/>
        <color theme="1"/>
        <rFont val="Aptos Narrow"/>
        <family val="2"/>
        <scheme val="minor"/>
      </rPr>
      <t>.</t>
    </r>
  </si>
  <si>
    <t>To Fill Blank Cells:</t>
  </si>
  <si>
    <t>Use the average value for numeric data.</t>
  </si>
  <si>
    <t>Enter "Not Available" or "N/A" for text data.</t>
  </si>
  <si>
    <t>3. Remove Extra Spaces</t>
  </si>
  <si>
    <t>Sometimes data contains unnecessary spaces.</t>
  </si>
  <si>
    <t>Example:</t>
  </si>
  <si>
    <t>These values appear different because of extra spaces.</t>
  </si>
  <si>
    <t>1. Create a new column.</t>
  </si>
  <si>
    <t>2. Enter the formula.</t>
  </si>
  <si>
    <r>
      <t xml:space="preserve">3. Press </t>
    </r>
    <r>
      <rPr>
        <b/>
        <sz val="11"/>
        <color theme="1"/>
        <rFont val="Aptos Narrow"/>
        <family val="2"/>
        <scheme val="minor"/>
      </rPr>
      <t>Enter</t>
    </r>
    <r>
      <rPr>
        <sz val="11"/>
        <color theme="1"/>
        <rFont val="Aptos Narrow"/>
        <family val="2"/>
        <scheme val="minor"/>
      </rPr>
      <t>.</t>
    </r>
  </si>
  <si>
    <t>4. Drag the formula down.</t>
  </si>
  <si>
    <r>
      <t xml:space="preserve">5. Copy the results and use </t>
    </r>
    <r>
      <rPr>
        <b/>
        <sz val="11"/>
        <color theme="1"/>
        <rFont val="Aptos Narrow"/>
        <family val="2"/>
        <scheme val="minor"/>
      </rPr>
      <t>Paste Special → Values</t>
    </r>
    <r>
      <rPr>
        <sz val="11"/>
        <color theme="1"/>
        <rFont val="Aptos Narrow"/>
        <family val="2"/>
        <scheme val="minor"/>
      </rPr>
      <t>.</t>
    </r>
  </si>
  <si>
    <t>4. Standardize Text Format</t>
  </si>
  <si>
    <t>Convert to Uppercase</t>
  </si>
  <si>
    <t>Convert to Lowercase</t>
  </si>
  <si>
    <t>Convert to Proper Case</t>
  </si>
  <si>
    <t>Convert Text to Numbers</t>
  </si>
  <si>
    <t>If a green triangle appears in a cell:</t>
  </si>
  <si>
    <t>1. Select the cell.</t>
  </si>
  <si>
    <t>2. Click the warning icon.</t>
  </si>
  <si>
    <r>
      <t xml:space="preserve">3. Choose </t>
    </r>
    <r>
      <rPr>
        <b/>
        <sz val="11"/>
        <color theme="1"/>
        <rFont val="Aptos Narrow"/>
        <family val="2"/>
        <scheme val="minor"/>
      </rPr>
      <t>Convert to Number</t>
    </r>
    <r>
      <rPr>
        <sz val="11"/>
        <color theme="1"/>
        <rFont val="Aptos Narrow"/>
        <family val="2"/>
        <scheme val="minor"/>
      </rPr>
      <t>.</t>
    </r>
  </si>
  <si>
    <t>Change Date Format</t>
  </si>
  <si>
    <t>1. Select the date column.</t>
  </si>
  <si>
    <r>
      <t xml:space="preserve">2. Right-click and choose </t>
    </r>
    <r>
      <rPr>
        <b/>
        <sz val="11"/>
        <color theme="1"/>
        <rFont val="Aptos Narrow"/>
        <family val="2"/>
        <scheme val="minor"/>
      </rPr>
      <t>Format Cells</t>
    </r>
    <r>
      <rPr>
        <sz val="11"/>
        <color theme="1"/>
        <rFont val="Aptos Narrow"/>
        <family val="2"/>
        <scheme val="minor"/>
      </rPr>
      <t>.</t>
    </r>
  </si>
  <si>
    <r>
      <t xml:space="preserve">3. Select </t>
    </r>
    <r>
      <rPr>
        <b/>
        <sz val="11"/>
        <color theme="1"/>
        <rFont val="Aptos Narrow"/>
        <family val="2"/>
        <scheme val="minor"/>
      </rPr>
      <t>Date</t>
    </r>
    <r>
      <rPr>
        <sz val="11"/>
        <color theme="1"/>
        <rFont val="Aptos Narrow"/>
        <family val="2"/>
        <scheme val="minor"/>
      </rPr>
      <t>.</t>
    </r>
  </si>
  <si>
    <t>4. Choose the required format.</t>
  </si>
  <si>
    <t>Examples:</t>
  </si>
  <si>
    <t>6. Use Find and Replace</t>
  </si>
  <si>
    <t>Replace With:</t>
  </si>
  <si>
    <r>
      <t xml:space="preserve">Click </t>
    </r>
    <r>
      <rPr>
        <b/>
        <sz val="11"/>
        <color theme="1"/>
        <rFont val="Aptos Narrow"/>
        <family val="2"/>
        <scheme val="minor"/>
      </rPr>
      <t>Replace All</t>
    </r>
    <r>
      <rPr>
        <sz val="11"/>
        <color theme="1"/>
        <rFont val="Aptos Narrow"/>
        <family val="2"/>
        <scheme val="minor"/>
      </rPr>
      <t>.</t>
    </r>
  </si>
  <si>
    <t>7. Handle Missing Values</t>
  </si>
  <si>
    <t>1. Select blank rows.</t>
  </si>
  <si>
    <r>
      <t xml:space="preserve">2. Right-click and choose </t>
    </r>
    <r>
      <rPr>
        <b/>
        <sz val="11"/>
        <color theme="1"/>
        <rFont val="Aptos Narrow"/>
        <family val="2"/>
        <scheme val="minor"/>
      </rPr>
      <t>Delete</t>
    </r>
    <r>
      <rPr>
        <sz val="11"/>
        <color theme="1"/>
        <rFont val="Aptos Narrow"/>
        <family val="2"/>
        <scheme val="minor"/>
      </rPr>
      <t>.</t>
    </r>
  </si>
  <si>
    <t>8. Check for Inconsistent Data</t>
  </si>
  <si>
    <t>Standardize them into one format.</t>
  </si>
  <si>
    <t>9. Apply Data Validation</t>
  </si>
  <si>
    <t>Data validation helps prevent incorrect data entry.</t>
  </si>
  <si>
    <t>Create a Drop-Down List:</t>
  </si>
  <si>
    <t>1. Select the column.</t>
  </si>
  <si>
    <r>
      <t xml:space="preserve">2. Go to </t>
    </r>
    <r>
      <rPr>
        <b/>
        <sz val="11"/>
        <color theme="1"/>
        <rFont val="Aptos Narrow"/>
        <family val="2"/>
        <scheme val="minor"/>
      </rPr>
      <t>Data → Data Validation</t>
    </r>
    <r>
      <rPr>
        <sz val="11"/>
        <color theme="1"/>
        <rFont val="Aptos Narrow"/>
        <family val="2"/>
        <scheme val="minor"/>
      </rPr>
      <t>.</t>
    </r>
  </si>
  <si>
    <r>
      <t xml:space="preserve">3. Under </t>
    </r>
    <r>
      <rPr>
        <b/>
        <sz val="11"/>
        <color theme="1"/>
        <rFont val="Aptos Narrow"/>
        <family val="2"/>
        <scheme val="minor"/>
      </rPr>
      <t>Allow</t>
    </r>
    <r>
      <rPr>
        <sz val="11"/>
        <color theme="1"/>
        <rFont val="Aptos Narrow"/>
        <family val="2"/>
        <scheme val="minor"/>
      </rPr>
      <t xml:space="preserve">, select </t>
    </r>
    <r>
      <rPr>
        <b/>
        <sz val="11"/>
        <color theme="1"/>
        <rFont val="Aptos Narrow"/>
        <family val="2"/>
        <scheme val="minor"/>
      </rPr>
      <t>List</t>
    </r>
    <r>
      <rPr>
        <sz val="11"/>
        <color theme="1"/>
        <rFont val="Aptos Narrow"/>
        <family val="2"/>
        <scheme val="minor"/>
      </rPr>
      <t>.</t>
    </r>
  </si>
  <si>
    <r>
      <t xml:space="preserve">4. In </t>
    </r>
    <r>
      <rPr>
        <b/>
        <sz val="11"/>
        <color theme="1"/>
        <rFont val="Aptos Narrow"/>
        <family val="2"/>
        <scheme val="minor"/>
      </rPr>
      <t>Source</t>
    </r>
    <r>
      <rPr>
        <sz val="11"/>
        <color theme="1"/>
        <rFont val="Aptos Narrow"/>
        <family val="2"/>
        <scheme val="minor"/>
      </rPr>
      <t>, enter:</t>
    </r>
  </si>
  <si>
    <r>
      <t xml:space="preserve">5. Click </t>
    </r>
    <r>
      <rPr>
        <b/>
        <sz val="11"/>
        <color theme="1"/>
        <rFont val="Aptos Narrow"/>
        <family val="2"/>
        <scheme val="minor"/>
      </rPr>
      <t>OK</t>
    </r>
    <r>
      <rPr>
        <sz val="11"/>
        <color theme="1"/>
        <rFont val="Aptos Narrow"/>
        <family val="2"/>
        <scheme val="minor"/>
      </rPr>
      <t>.</t>
    </r>
  </si>
  <si>
    <t>Now users can select only from the drop-down list.</t>
  </si>
  <si>
    <t>Apply Filters</t>
  </si>
  <si>
    <t>Check for:</t>
  </si>
  <si>
    <t>Incorrect spellings</t>
  </si>
  <si>
    <t>Remove Extra Spaces</t>
  </si>
  <si>
    <t>Count Text Length</t>
  </si>
  <si>
    <t>Remove Non-Printable Characters</t>
  </si>
  <si>
    <t>Correct Data Types</t>
  </si>
  <si>
    <t>Apply Data Validation</t>
  </si>
  <si>
    <t>This process helps make any dataset (Sales, HR, Student, Customer, or Finance data) clean, accurate, and ready for analysis and reporting.</t>
  </si>
  <si>
    <t>Count of TX ID</t>
  </si>
  <si>
    <t>Sum of Quantity</t>
  </si>
  <si>
    <t>Sum of Amount</t>
  </si>
  <si>
    <t>Average of Rating C</t>
  </si>
  <si>
    <t>Average of Days to Deliver</t>
  </si>
  <si>
    <t>Row Labels</t>
  </si>
  <si>
    <t>Grand Total</t>
  </si>
  <si>
    <t>Trend in the Last 13 Weeks</t>
  </si>
  <si>
    <t>Column Labels</t>
  </si>
  <si>
    <t>Other</t>
  </si>
  <si>
    <t>for matrix</t>
  </si>
  <si>
    <t>more than 10</t>
  </si>
  <si>
    <t xml:space="preserve">How many they buy? </t>
  </si>
  <si>
    <t>Overall gender split</t>
  </si>
  <si>
    <t>Where do our customer live?</t>
  </si>
  <si>
    <t>How long we take to ship the orders?</t>
  </si>
  <si>
    <t>6 to 10</t>
  </si>
  <si>
    <t>Map chart stuff</t>
  </si>
  <si>
    <t>Map chart for Amount</t>
  </si>
  <si>
    <t>shipment duration analysis</t>
  </si>
  <si>
    <t>customer satisfaction</t>
  </si>
  <si>
    <t>Jan</t>
  </si>
  <si>
    <t>Feb</t>
  </si>
  <si>
    <t>Mar</t>
  </si>
  <si>
    <t>Insights</t>
  </si>
  <si>
    <t>Sales remained relatively stable across the 13-week period with a few noticeable peaks.</t>
  </si>
  <si>
    <t>Revenue and quantity trends move closely together, indicating consistent average order values.</t>
  </si>
  <si>
    <t>Most customers purchase between 1 and 3 items per order.</t>
  </si>
  <si>
    <t>Orders containing more than 10 items are relatively rare.</t>
  </si>
  <si>
    <t>Mobile applications and websites contribute significantly to customer purchases.</t>
  </si>
  <si>
    <t>Social channels such as Instagram contribute a smaller share of total purchases.</t>
  </si>
  <si>
    <t>T-Shirts, Jeans, and Sneakers are among the top-selling products.</t>
  </si>
  <si>
    <t>Jewelry and niche products contribute the least to total sales.</t>
  </si>
  <si>
    <t>Customer concentration is highest in major California cities, especially Southern California regions.</t>
  </si>
  <si>
    <t>Most orders are delivered within 1 to 3 days, indicating efficient logistics operations.</t>
  </si>
  <si>
    <t>The average customer rating is 4.0/5, suggesting generally positive customer experiences.</t>
  </si>
  <si>
    <t>2. Customer Purchase Behavior</t>
  </si>
  <si>
    <t>1. Sales Performance</t>
  </si>
  <si>
    <t>3. Purchase Channel Preferences</t>
  </si>
  <si>
    <t>4. Product Performance</t>
  </si>
  <si>
    <t>5.  Geographic Distribution</t>
  </si>
  <si>
    <t>6.  Delivery Performance</t>
  </si>
  <si>
    <t>7.  Customer Satisfaction</t>
  </si>
  <si>
    <t>Business Recommendations</t>
  </si>
  <si>
    <t>• Use bundles &amp; cross-selling to increase the average order size.</t>
  </si>
  <si>
    <t>• Prioritize high-performing products like T-Shirts, Jeans &amp; Sneakers.</t>
  </si>
  <si>
    <t>• Strengthen App &amp; Website experiences to improve digital sales.</t>
  </si>
  <si>
    <t>• Optimize inventory and marketing in high-demand locations.</t>
  </si>
  <si>
    <t>• Monitor delayed deliveries and lower ratings to improve customer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</si>
</sst>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6">
    <font>
      <sz val="11"/>
      <color theme="1"/>
      <name val="Aptos Narrow"/>
      <family val="2"/>
      <scheme val="minor"/>
    </font>
    <font>
      <b/>
      <sz val="11"/>
      <color theme="1"/>
      <name val="Aptos Narrow"/>
      <family val="2"/>
      <scheme val="minor"/>
    </font>
    <font>
      <b/>
      <sz val="13.5"/>
      <color theme="1"/>
      <name val="Aptos Narrow"/>
      <family val="2"/>
      <scheme val="minor"/>
    </font>
    <font>
      <sz val="10"/>
      <color theme="1"/>
      <name val="Arial Unicode MS"/>
    </font>
    <font>
      <b/>
      <sz val="18"/>
      <color theme="1"/>
      <name val="Aptos Narrow"/>
      <family val="2"/>
      <scheme val="minor"/>
    </font>
    <font>
      <b/>
      <sz val="24"/>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xf>
    <xf numFmtId="0" fontId="3" fillId="0" borderId="0" xfId="0" applyFont="1" applyAlignment="1">
      <alignment vertical="center" wrapText="1"/>
    </xf>
    <xf numFmtId="14" fontId="0" fillId="0" borderId="0" xfId="0" applyNumberFormat="1" applyAlignment="1">
      <alignment horizontal="left" vertical="center" indent="1"/>
    </xf>
    <xf numFmtId="15" fontId="0" fillId="0" borderId="0" xfId="0" applyNumberFormat="1" applyAlignment="1">
      <alignment horizontal="left" vertical="center" indent="1"/>
    </xf>
    <xf numFmtId="0" fontId="1" fillId="3" borderId="1" xfId="0" applyFont="1" applyFill="1"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applyAlignment="1">
      <alignment horizontal="center"/>
    </xf>
    <xf numFmtId="0" fontId="1" fillId="0" borderId="0" xfId="0" applyFont="1"/>
    <xf numFmtId="0" fontId="1" fillId="0" borderId="1" xfId="0" applyFont="1" applyBorder="1"/>
    <xf numFmtId="165" fontId="0" fillId="0" borderId="0" xfId="0" applyNumberFormat="1"/>
    <xf numFmtId="0" fontId="0" fillId="0" borderId="0" xfId="0" applyAlignment="1">
      <alignment horizontal="center"/>
    </xf>
    <xf numFmtId="0" fontId="1" fillId="0" borderId="0" xfId="0" applyFont="1" applyAlignment="1">
      <alignment horizontal="left" indent="1"/>
    </xf>
  </cellXfs>
  <cellStyles count="1">
    <cellStyle name="Normal" xfId="0" builtinId="0"/>
  </cellStyles>
  <dxfs count="7">
    <dxf>
      <numFmt numFmtId="165" formatCode="&quot;₹&quot;\ #,##0.00"/>
    </dxf>
    <dxf>
      <numFmt numFmtId="165" formatCode="&quot;₹&quot;\ #,##0.00"/>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A82A2A"/>
      <color rgb="FF00B050"/>
      <color rgb="FF21FF51"/>
      <color rgb="FF52D14F"/>
      <color rgb="FF09A73E"/>
      <color rgb="FF8DD54B"/>
      <color rgb="FF82AA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[Ecommerce-Excel-Project.xlsx]pivot 1!chart11</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Last</a:t>
            </a:r>
            <a:r>
              <a:rPr lang="en-IN" b="1" baseline="0">
                <a:solidFill>
                  <a:schemeClr val="tx1"/>
                </a:solidFill>
              </a:rPr>
              <a:t> 13 Weeks Trends - Qty &amp; Amount</a:t>
            </a:r>
            <a:endParaRPr lang="en-IN" b="1">
              <a:solidFill>
                <a:schemeClr val="tx1"/>
              </a:solidFill>
            </a:endParaRPr>
          </a:p>
        </c:rich>
      </c:tx>
      <c:layout>
        <c:manualLayout>
          <c:xMode val="edge"/>
          <c:yMode val="edge"/>
          <c:x val="0.14896840747904577"/>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1'!$B$9</c:f>
              <c:strCache>
                <c:ptCount val="1"/>
                <c:pt idx="0">
                  <c:v>Sum of Quantity</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 1'!$A$10:$A$23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1'!$B$10:$B$23</c:f>
              <c:numCache>
                <c:formatCode>General</c:formatCode>
                <c:ptCount val="13"/>
                <c:pt idx="0">
                  <c:v>106</c:v>
                </c:pt>
                <c:pt idx="1">
                  <c:v>235</c:v>
                </c:pt>
                <c:pt idx="2">
                  <c:v>239</c:v>
                </c:pt>
                <c:pt idx="3">
                  <c:v>186</c:v>
                </c:pt>
                <c:pt idx="4">
                  <c:v>132</c:v>
                </c:pt>
                <c:pt idx="5">
                  <c:v>224</c:v>
                </c:pt>
                <c:pt idx="6">
                  <c:v>226</c:v>
                </c:pt>
                <c:pt idx="7">
                  <c:v>253</c:v>
                </c:pt>
                <c:pt idx="8">
                  <c:v>202</c:v>
                </c:pt>
                <c:pt idx="9">
                  <c:v>217</c:v>
                </c:pt>
                <c:pt idx="10">
                  <c:v>202</c:v>
                </c:pt>
                <c:pt idx="11">
                  <c:v>233</c:v>
                </c:pt>
                <c:pt idx="12">
                  <c:v>211</c:v>
                </c:pt>
              </c:numCache>
            </c:numRef>
          </c:val>
          <c:smooth val="0"/>
          <c:extLst>
            <c:ext xmlns:c16="http://schemas.microsoft.com/office/drawing/2014/chart" uri="{C3380CC4-5D6E-409C-BE32-E72D297353CC}">
              <c16:uniqueId val="{00000000-E8C2-4D4A-B5E5-12904E8CD87C}"/>
            </c:ext>
          </c:extLst>
        </c:ser>
        <c:dLbls>
          <c:showLegendKey val="0"/>
          <c:showVal val="0"/>
          <c:showCatName val="0"/>
          <c:showSerName val="0"/>
          <c:showPercent val="0"/>
          <c:showBubbleSize val="0"/>
        </c:dLbls>
        <c:marker val="1"/>
        <c:smooth val="0"/>
        <c:axId val="1959200095"/>
        <c:axId val="1959200575"/>
      </c:lineChart>
      <c:lineChart>
        <c:grouping val="standard"/>
        <c:varyColors val="0"/>
        <c:ser>
          <c:idx val="1"/>
          <c:order val="1"/>
          <c:tx>
            <c:strRef>
              <c:f>'pivot 1'!$C$9</c:f>
              <c:strCache>
                <c:ptCount val="1"/>
                <c:pt idx="0">
                  <c:v>Sum of Amount</c:v>
                </c:pt>
              </c:strCache>
            </c:strRef>
          </c:tx>
          <c:spPr>
            <a:ln w="28575" cap="rnd">
              <a:solidFill>
                <a:schemeClr val="accent5">
                  <a:tint val="77000"/>
                </a:schemeClr>
              </a:solidFill>
              <a:round/>
            </a:ln>
            <a:effectLst/>
          </c:spPr>
          <c:marker>
            <c:symbol val="none"/>
          </c:marker>
          <c:cat>
            <c:strRef>
              <c:f>'pivot 1'!$A$10:$A$23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1'!$C$10:$C$23</c:f>
              <c:numCache>
                <c:formatCode>"₹"\ #,##0.00</c:formatCode>
                <c:ptCount val="13"/>
                <c:pt idx="0">
                  <c:v>5530.5999999999995</c:v>
                </c:pt>
                <c:pt idx="1">
                  <c:v>11648.6</c:v>
                </c:pt>
                <c:pt idx="2">
                  <c:v>14960.699999999999</c:v>
                </c:pt>
                <c:pt idx="3">
                  <c:v>10358.900000000001</c:v>
                </c:pt>
                <c:pt idx="4">
                  <c:v>7508.0000000000018</c:v>
                </c:pt>
                <c:pt idx="5">
                  <c:v>14115.399999999998</c:v>
                </c:pt>
                <c:pt idx="6">
                  <c:v>12354.4</c:v>
                </c:pt>
                <c:pt idx="7">
                  <c:v>15048.500000000005</c:v>
                </c:pt>
                <c:pt idx="8">
                  <c:v>10938.800000000001</c:v>
                </c:pt>
                <c:pt idx="9">
                  <c:v>14980.4</c:v>
                </c:pt>
                <c:pt idx="10">
                  <c:v>10512.100000000002</c:v>
                </c:pt>
                <c:pt idx="11">
                  <c:v>12628</c:v>
                </c:pt>
                <c:pt idx="12">
                  <c:v>12212.000000000002</c:v>
                </c:pt>
              </c:numCache>
            </c:numRef>
          </c:val>
          <c:smooth val="0"/>
          <c:extLst>
            <c:ext xmlns:c16="http://schemas.microsoft.com/office/drawing/2014/chart" uri="{C3380CC4-5D6E-409C-BE32-E72D297353CC}">
              <c16:uniqueId val="{00000001-E8C2-4D4A-B5E5-12904E8CD87C}"/>
            </c:ext>
          </c:extLst>
        </c:ser>
        <c:dLbls>
          <c:showLegendKey val="0"/>
          <c:showVal val="0"/>
          <c:showCatName val="0"/>
          <c:showSerName val="0"/>
          <c:showPercent val="0"/>
          <c:showBubbleSize val="0"/>
        </c:dLbls>
        <c:marker val="1"/>
        <c:smooth val="0"/>
        <c:axId val="1975868223"/>
        <c:axId val="1975884063"/>
      </c:lineChart>
      <c:catAx>
        <c:axId val="195920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00575"/>
        <c:crosses val="autoZero"/>
        <c:auto val="1"/>
        <c:lblAlgn val="ctr"/>
        <c:lblOffset val="100"/>
        <c:noMultiLvlLbl val="0"/>
      </c:catAx>
      <c:valAx>
        <c:axId val="195920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00095"/>
        <c:crosses val="autoZero"/>
        <c:crossBetween val="between"/>
      </c:valAx>
      <c:valAx>
        <c:axId val="1975884063"/>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68223"/>
        <c:crosses val="max"/>
        <c:crossBetween val="between"/>
      </c:valAx>
      <c:catAx>
        <c:axId val="1975868223"/>
        <c:scaling>
          <c:orientation val="minMax"/>
        </c:scaling>
        <c:delete val="1"/>
        <c:axPos val="b"/>
        <c:numFmt formatCode="General" sourceLinked="1"/>
        <c:majorTickMark val="out"/>
        <c:minorTickMark val="none"/>
        <c:tickLblPos val="nextTo"/>
        <c:crossAx val="19758840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[Ecommerce-Excel-Project.xlsx]pivot3!chart13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r>
              <a:rPr lang="en-IN" sz="1400">
                <a:solidFill>
                  <a:schemeClr val="tx1"/>
                </a:solidFill>
              </a:rPr>
              <a:t>TotalHow many of they buy?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pivot3!$A$4:$A$11</c:f>
              <c:strCache>
                <c:ptCount val="7"/>
                <c:pt idx="0">
                  <c:v>1</c:v>
                </c:pt>
                <c:pt idx="1">
                  <c:v>2</c:v>
                </c:pt>
                <c:pt idx="2">
                  <c:v>3</c:v>
                </c:pt>
                <c:pt idx="3">
                  <c:v>4</c:v>
                </c:pt>
                <c:pt idx="4">
                  <c:v>5</c:v>
                </c:pt>
                <c:pt idx="5">
                  <c:v>6 to 10</c:v>
                </c:pt>
                <c:pt idx="6">
                  <c:v>more than 10</c:v>
                </c:pt>
              </c:strCache>
            </c:strRef>
          </c:cat>
          <c:val>
            <c:numRef>
              <c:f>pivot3!$B$4:$B$11</c:f>
              <c:numCache>
                <c:formatCode>General</c:formatCode>
                <c:ptCount val="7"/>
                <c:pt idx="0">
                  <c:v>86</c:v>
                </c:pt>
                <c:pt idx="1">
                  <c:v>139</c:v>
                </c:pt>
                <c:pt idx="2">
                  <c:v>86</c:v>
                </c:pt>
                <c:pt idx="3">
                  <c:v>65</c:v>
                </c:pt>
                <c:pt idx="4">
                  <c:v>45</c:v>
                </c:pt>
                <c:pt idx="5">
                  <c:v>98</c:v>
                </c:pt>
                <c:pt idx="6">
                  <c:v>50</c:v>
                </c:pt>
              </c:numCache>
            </c:numRef>
          </c:val>
          <c:extLst>
            <c:ext xmlns:c16="http://schemas.microsoft.com/office/drawing/2014/chart" uri="{C3380CC4-5D6E-409C-BE32-E72D297353CC}">
              <c16:uniqueId val="{00000000-EBCE-49BF-B931-0B4431B8BD56}"/>
            </c:ext>
          </c:extLst>
        </c:ser>
        <c:dLbls>
          <c:dLblPos val="outEnd"/>
          <c:showLegendKey val="0"/>
          <c:showVal val="1"/>
          <c:showCatName val="0"/>
          <c:showSerName val="0"/>
          <c:showPercent val="0"/>
          <c:showBubbleSize val="0"/>
        </c:dLbls>
        <c:gapWidth val="355"/>
        <c:overlap val="-70"/>
        <c:axId val="1896218607"/>
        <c:axId val="1896215247"/>
      </c:barChart>
      <c:catAx>
        <c:axId val="189621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215247"/>
        <c:crosses val="autoZero"/>
        <c:auto val="1"/>
        <c:lblAlgn val="ctr"/>
        <c:lblOffset val="100"/>
        <c:noMultiLvlLbl val="0"/>
      </c:catAx>
      <c:valAx>
        <c:axId val="18962152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21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[Ecommerce-Excel-Project.xlsx]pivot4!chart14</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Which</a:t>
            </a:r>
            <a:r>
              <a:rPr lang="en-IN" sz="1400" b="1" baseline="0">
                <a:solidFill>
                  <a:schemeClr val="tx1"/>
                </a:solidFill>
              </a:rPr>
              <a:t> Products are Popular? Breakdown by Gender</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pivot4!$B$3:$B$4</c:f>
              <c:strCache>
                <c:ptCount val="1"/>
                <c:pt idx="0">
                  <c:v>Female</c:v>
                </c:pt>
              </c:strCache>
            </c:strRef>
          </c:tx>
          <c:spPr>
            <a:solidFill>
              <a:schemeClr val="accent5">
                <a:shade val="58000"/>
              </a:schemeClr>
            </a:solidFill>
            <a:ln>
              <a:noFill/>
            </a:ln>
            <a:effectLst/>
          </c:spPr>
          <c:invertIfNegative val="0"/>
          <c:cat>
            <c:strRef>
              <c:f>pivot4!$A$5:$A$25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pivot4!$B$5:$B$25</c:f>
              <c:numCache>
                <c:formatCode>General</c:formatCode>
                <c:ptCount val="20"/>
                <c:pt idx="0">
                  <c:v>157</c:v>
                </c:pt>
                <c:pt idx="1">
                  <c:v>175</c:v>
                </c:pt>
                <c:pt idx="2">
                  <c:v>177</c:v>
                </c:pt>
                <c:pt idx="3">
                  <c:v>146</c:v>
                </c:pt>
                <c:pt idx="4">
                  <c:v>42</c:v>
                </c:pt>
                <c:pt idx="5">
                  <c:v>72</c:v>
                </c:pt>
                <c:pt idx="6">
                  <c:v>68</c:v>
                </c:pt>
                <c:pt idx="7">
                  <c:v>55</c:v>
                </c:pt>
                <c:pt idx="8">
                  <c:v>53</c:v>
                </c:pt>
                <c:pt idx="9">
                  <c:v>57</c:v>
                </c:pt>
                <c:pt idx="10">
                  <c:v>57</c:v>
                </c:pt>
                <c:pt idx="11">
                  <c:v>34</c:v>
                </c:pt>
                <c:pt idx="12">
                  <c:v>53</c:v>
                </c:pt>
                <c:pt idx="13">
                  <c:v>42</c:v>
                </c:pt>
                <c:pt idx="14">
                  <c:v>31</c:v>
                </c:pt>
                <c:pt idx="15">
                  <c:v>44</c:v>
                </c:pt>
                <c:pt idx="16">
                  <c:v>11</c:v>
                </c:pt>
                <c:pt idx="17">
                  <c:v>13</c:v>
                </c:pt>
                <c:pt idx="18">
                  <c:v>16</c:v>
                </c:pt>
                <c:pt idx="19">
                  <c:v>9</c:v>
                </c:pt>
              </c:numCache>
            </c:numRef>
          </c:val>
          <c:extLst>
            <c:ext xmlns:c16="http://schemas.microsoft.com/office/drawing/2014/chart" uri="{C3380CC4-5D6E-409C-BE32-E72D297353CC}">
              <c16:uniqueId val="{00000000-365D-4FAE-BC28-4923543F1F67}"/>
            </c:ext>
          </c:extLst>
        </c:ser>
        <c:ser>
          <c:idx val="1"/>
          <c:order val="1"/>
          <c:tx>
            <c:strRef>
              <c:f>pivot4!$C$3:$C$4</c:f>
              <c:strCache>
                <c:ptCount val="1"/>
                <c:pt idx="0">
                  <c:v>Male</c:v>
                </c:pt>
              </c:strCache>
            </c:strRef>
          </c:tx>
          <c:spPr>
            <a:solidFill>
              <a:schemeClr val="accent5">
                <a:shade val="86000"/>
              </a:schemeClr>
            </a:solidFill>
            <a:ln>
              <a:noFill/>
            </a:ln>
            <a:effectLst/>
          </c:spPr>
          <c:invertIfNegative val="0"/>
          <c:cat>
            <c:strRef>
              <c:f>pivot4!$A$5:$A$25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pivot4!$C$5:$C$25</c:f>
              <c:numCache>
                <c:formatCode>General</c:formatCode>
                <c:ptCount val="20"/>
                <c:pt idx="0">
                  <c:v>220</c:v>
                </c:pt>
                <c:pt idx="1">
                  <c:v>187</c:v>
                </c:pt>
                <c:pt idx="2">
                  <c:v>80</c:v>
                </c:pt>
                <c:pt idx="3">
                  <c:v>98</c:v>
                </c:pt>
                <c:pt idx="4">
                  <c:v>82</c:v>
                </c:pt>
                <c:pt idx="5">
                  <c:v>52</c:v>
                </c:pt>
                <c:pt idx="6">
                  <c:v>48</c:v>
                </c:pt>
                <c:pt idx="7">
                  <c:v>54</c:v>
                </c:pt>
                <c:pt idx="8">
                  <c:v>45</c:v>
                </c:pt>
                <c:pt idx="9">
                  <c:v>31</c:v>
                </c:pt>
                <c:pt idx="10">
                  <c:v>41</c:v>
                </c:pt>
                <c:pt idx="11">
                  <c:v>50</c:v>
                </c:pt>
                <c:pt idx="12">
                  <c:v>34</c:v>
                </c:pt>
                <c:pt idx="13">
                  <c:v>29</c:v>
                </c:pt>
                <c:pt idx="14">
                  <c:v>26</c:v>
                </c:pt>
                <c:pt idx="15">
                  <c:v>14</c:v>
                </c:pt>
                <c:pt idx="16">
                  <c:v>20</c:v>
                </c:pt>
                <c:pt idx="17">
                  <c:v>9</c:v>
                </c:pt>
                <c:pt idx="18">
                  <c:v>16</c:v>
                </c:pt>
                <c:pt idx="19">
                  <c:v>12</c:v>
                </c:pt>
              </c:numCache>
            </c:numRef>
          </c:val>
          <c:extLst>
            <c:ext xmlns:c16="http://schemas.microsoft.com/office/drawing/2014/chart" uri="{C3380CC4-5D6E-409C-BE32-E72D297353CC}">
              <c16:uniqueId val="{00000001-365D-4FAE-BC28-4923543F1F67}"/>
            </c:ext>
          </c:extLst>
        </c:ser>
        <c:ser>
          <c:idx val="2"/>
          <c:order val="2"/>
          <c:tx>
            <c:strRef>
              <c:f>pivot4!$D$3:$D$4</c:f>
              <c:strCache>
                <c:ptCount val="1"/>
                <c:pt idx="0">
                  <c:v>Other</c:v>
                </c:pt>
              </c:strCache>
            </c:strRef>
          </c:tx>
          <c:spPr>
            <a:solidFill>
              <a:schemeClr val="accent5">
                <a:tint val="86000"/>
              </a:schemeClr>
            </a:solidFill>
            <a:ln>
              <a:noFill/>
            </a:ln>
            <a:effectLst/>
          </c:spPr>
          <c:invertIfNegative val="0"/>
          <c:cat>
            <c:strRef>
              <c:f>pivot4!$A$5:$A$25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pivot4!$D$5:$D$25</c:f>
              <c:numCache>
                <c:formatCode>General</c:formatCode>
                <c:ptCount val="20"/>
                <c:pt idx="0">
                  <c:v>12</c:v>
                </c:pt>
                <c:pt idx="1">
                  <c:v>8</c:v>
                </c:pt>
                <c:pt idx="3">
                  <c:v>6</c:v>
                </c:pt>
                <c:pt idx="4">
                  <c:v>13</c:v>
                </c:pt>
                <c:pt idx="7">
                  <c:v>5</c:v>
                </c:pt>
                <c:pt idx="8">
                  <c:v>6</c:v>
                </c:pt>
                <c:pt idx="13">
                  <c:v>4</c:v>
                </c:pt>
                <c:pt idx="14">
                  <c:v>15</c:v>
                </c:pt>
                <c:pt idx="16">
                  <c:v>3</c:v>
                </c:pt>
              </c:numCache>
            </c:numRef>
          </c:val>
          <c:extLst>
            <c:ext xmlns:c16="http://schemas.microsoft.com/office/drawing/2014/chart" uri="{C3380CC4-5D6E-409C-BE32-E72D297353CC}">
              <c16:uniqueId val="{00000013-365D-4FAE-BC28-4923543F1F67}"/>
            </c:ext>
          </c:extLst>
        </c:ser>
        <c:ser>
          <c:idx val="3"/>
          <c:order val="3"/>
          <c:tx>
            <c:strRef>
              <c:f>pivot4!$E$3:$E$4</c:f>
              <c:strCache>
                <c:ptCount val="1"/>
                <c:pt idx="0">
                  <c:v>Unknown</c:v>
                </c:pt>
              </c:strCache>
            </c:strRef>
          </c:tx>
          <c:spPr>
            <a:solidFill>
              <a:schemeClr val="accent5">
                <a:tint val="58000"/>
              </a:schemeClr>
            </a:solidFill>
            <a:ln>
              <a:noFill/>
            </a:ln>
            <a:effectLst/>
          </c:spPr>
          <c:invertIfNegative val="0"/>
          <c:cat>
            <c:strRef>
              <c:f>pivot4!$A$5:$A$25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pivot4!$E$5:$E$25</c:f>
              <c:numCache>
                <c:formatCode>General</c:formatCode>
                <c:ptCount val="20"/>
                <c:pt idx="0">
                  <c:v>10</c:v>
                </c:pt>
                <c:pt idx="1">
                  <c:v>12</c:v>
                </c:pt>
                <c:pt idx="2">
                  <c:v>27</c:v>
                </c:pt>
                <c:pt idx="5">
                  <c:v>6</c:v>
                </c:pt>
                <c:pt idx="6">
                  <c:v>10</c:v>
                </c:pt>
                <c:pt idx="8">
                  <c:v>3</c:v>
                </c:pt>
                <c:pt idx="9">
                  <c:v>17</c:v>
                </c:pt>
                <c:pt idx="10">
                  <c:v>4</c:v>
                </c:pt>
                <c:pt idx="11">
                  <c:v>6</c:v>
                </c:pt>
                <c:pt idx="13">
                  <c:v>10</c:v>
                </c:pt>
                <c:pt idx="14">
                  <c:v>2</c:v>
                </c:pt>
                <c:pt idx="15">
                  <c:v>7</c:v>
                </c:pt>
                <c:pt idx="16">
                  <c:v>5</c:v>
                </c:pt>
                <c:pt idx="17">
                  <c:v>15</c:v>
                </c:pt>
              </c:numCache>
            </c:numRef>
          </c:val>
          <c:extLst>
            <c:ext xmlns:c16="http://schemas.microsoft.com/office/drawing/2014/chart" uri="{C3380CC4-5D6E-409C-BE32-E72D297353CC}">
              <c16:uniqueId val="{00000016-365D-4FAE-BC28-4923543F1F67}"/>
            </c:ext>
          </c:extLst>
        </c:ser>
        <c:dLbls>
          <c:showLegendKey val="0"/>
          <c:showVal val="0"/>
          <c:showCatName val="0"/>
          <c:showSerName val="0"/>
          <c:showPercent val="0"/>
          <c:showBubbleSize val="0"/>
        </c:dLbls>
        <c:gapWidth val="150"/>
        <c:overlap val="100"/>
        <c:axId val="1900419871"/>
        <c:axId val="1900421791"/>
      </c:barChart>
      <c:catAx>
        <c:axId val="190041987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421791"/>
        <c:crosses val="autoZero"/>
        <c:auto val="1"/>
        <c:lblAlgn val="ctr"/>
        <c:lblOffset val="100"/>
        <c:noMultiLvlLbl val="0"/>
      </c:catAx>
      <c:valAx>
        <c:axId val="19004217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41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[Ecommerce-Excel-Project.xlsx]pivot4!chart15</c:name>
    <c:fmtId val="5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doughnutChart>
        <c:varyColors val="1"/>
        <c:ser>
          <c:idx val="0"/>
          <c:order val="0"/>
          <c:tx>
            <c:strRef>
              <c:f>pivot4!$I$3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D909-4ADC-B2CF-6DBF8C3F8B9D}"/>
              </c:ext>
            </c:extLst>
          </c:dPt>
          <c:dPt>
            <c:idx val="1"/>
            <c:bubble3D val="0"/>
            <c:spPr>
              <a:solidFill>
                <a:schemeClr val="accent2"/>
              </a:solidFill>
              <a:ln w="19050">
                <a:noFill/>
              </a:ln>
              <a:effectLst/>
            </c:spPr>
            <c:extLst>
              <c:ext xmlns:c16="http://schemas.microsoft.com/office/drawing/2014/chart" uri="{C3380CC4-5D6E-409C-BE32-E72D297353CC}">
                <c16:uniqueId val="{00000003-D909-4ADC-B2CF-6DBF8C3F8B9D}"/>
              </c:ext>
            </c:extLst>
          </c:dPt>
          <c:dPt>
            <c:idx val="2"/>
            <c:bubble3D val="0"/>
            <c:spPr>
              <a:solidFill>
                <a:schemeClr val="accent3"/>
              </a:solidFill>
              <a:ln w="19050">
                <a:noFill/>
              </a:ln>
              <a:effectLst/>
            </c:spPr>
            <c:extLst>
              <c:ext xmlns:c16="http://schemas.microsoft.com/office/drawing/2014/chart" uri="{C3380CC4-5D6E-409C-BE32-E72D297353CC}">
                <c16:uniqueId val="{00000005-D909-4ADC-B2CF-6DBF8C3F8B9D}"/>
              </c:ext>
            </c:extLst>
          </c:dPt>
          <c:dPt>
            <c:idx val="3"/>
            <c:bubble3D val="0"/>
            <c:spPr>
              <a:solidFill>
                <a:schemeClr val="accent4"/>
              </a:solidFill>
              <a:ln w="19050">
                <a:noFill/>
              </a:ln>
              <a:effectLst/>
            </c:spPr>
            <c:extLst>
              <c:ext xmlns:c16="http://schemas.microsoft.com/office/drawing/2014/chart" uri="{C3380CC4-5D6E-409C-BE32-E72D297353CC}">
                <c16:uniqueId val="{00000007-D909-4ADC-B2CF-6DBF8C3F8B9D}"/>
              </c:ext>
            </c:extLst>
          </c:dPt>
          <c:cat>
            <c:strRef>
              <c:f>pivot4!$H$4:$H$8</c:f>
              <c:strCache>
                <c:ptCount val="4"/>
                <c:pt idx="0">
                  <c:v>Female</c:v>
                </c:pt>
                <c:pt idx="1">
                  <c:v>Male</c:v>
                </c:pt>
                <c:pt idx="2">
                  <c:v>Other</c:v>
                </c:pt>
                <c:pt idx="3">
                  <c:v>Unknown</c:v>
                </c:pt>
              </c:strCache>
            </c:strRef>
          </c:cat>
          <c:val>
            <c:numRef>
              <c:f>pivot4!$I$4:$I$8</c:f>
              <c:numCache>
                <c:formatCode>General</c:formatCode>
                <c:ptCount val="4"/>
                <c:pt idx="0">
                  <c:v>1312</c:v>
                </c:pt>
                <c:pt idx="1">
                  <c:v>1148</c:v>
                </c:pt>
                <c:pt idx="2">
                  <c:v>72</c:v>
                </c:pt>
                <c:pt idx="3">
                  <c:v>134</c:v>
                </c:pt>
              </c:numCache>
            </c:numRef>
          </c:val>
          <c:extLst>
            <c:ext xmlns:c16="http://schemas.microsoft.com/office/drawing/2014/chart" uri="{C3380CC4-5D6E-409C-BE32-E72D297353CC}">
              <c16:uniqueId val="{00000008-D909-4ADC-B2CF-6DBF8C3F8B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[Ecommerce-Excel-Project.xlsx]pivot6!chart17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How</a:t>
            </a:r>
            <a:r>
              <a:rPr lang="en-US" sz="1400" b="1" baseline="0">
                <a:solidFill>
                  <a:schemeClr val="tx1"/>
                </a:solidFill>
              </a:rPr>
              <a:t> long we take to ship?</a:t>
            </a:r>
            <a:endParaRPr lang="en-US" sz="1400" b="1">
              <a:solidFill>
                <a:schemeClr val="tx1"/>
              </a:solidFill>
            </a:endParaRPr>
          </a:p>
        </c:rich>
      </c:tx>
      <c:layout>
        <c:manualLayout>
          <c:xMode val="edge"/>
          <c:yMode val="edge"/>
          <c:x val="0.19689050605615327"/>
          <c:y val="5.74923706605567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pivot6!$B$3</c:f>
              <c:strCache>
                <c:ptCount val="1"/>
                <c:pt idx="0">
                  <c:v>Total</c:v>
                </c:pt>
              </c:strCache>
            </c:strRef>
          </c:tx>
          <c:spPr>
            <a:solidFill>
              <a:schemeClr val="accent5"/>
            </a:solidFill>
            <a:ln>
              <a:noFill/>
            </a:ln>
            <a:effectLst/>
          </c:spPr>
          <c:invertIfNegative val="0"/>
          <c:cat>
            <c:strRef>
              <c:f>pivot6!$A$4:$A$18</c:f>
              <c:strCache>
                <c:ptCount val="14"/>
                <c:pt idx="0">
                  <c:v>0</c:v>
                </c:pt>
                <c:pt idx="1">
                  <c:v>1</c:v>
                </c:pt>
                <c:pt idx="2">
                  <c:v>2</c:v>
                </c:pt>
                <c:pt idx="3">
                  <c:v>3</c:v>
                </c:pt>
                <c:pt idx="4">
                  <c:v>4</c:v>
                </c:pt>
                <c:pt idx="5">
                  <c:v>5</c:v>
                </c:pt>
                <c:pt idx="6">
                  <c:v>6</c:v>
                </c:pt>
                <c:pt idx="7">
                  <c:v>7</c:v>
                </c:pt>
                <c:pt idx="8">
                  <c:v>8</c:v>
                </c:pt>
                <c:pt idx="9">
                  <c:v>9</c:v>
                </c:pt>
                <c:pt idx="10">
                  <c:v>10</c:v>
                </c:pt>
                <c:pt idx="11">
                  <c:v>11</c:v>
                </c:pt>
                <c:pt idx="12">
                  <c:v>13</c:v>
                </c:pt>
                <c:pt idx="13">
                  <c:v>14</c:v>
                </c:pt>
              </c:strCache>
            </c:strRef>
          </c:cat>
          <c:val>
            <c:numRef>
              <c:f>pivot6!$B$4:$B$18</c:f>
              <c:numCache>
                <c:formatCode>General</c:formatCode>
                <c:ptCount val="14"/>
                <c:pt idx="0">
                  <c:v>49</c:v>
                </c:pt>
                <c:pt idx="1">
                  <c:v>208</c:v>
                </c:pt>
                <c:pt idx="2">
                  <c:v>140</c:v>
                </c:pt>
                <c:pt idx="3">
                  <c:v>79</c:v>
                </c:pt>
                <c:pt idx="4">
                  <c:v>45</c:v>
                </c:pt>
                <c:pt idx="5">
                  <c:v>15</c:v>
                </c:pt>
                <c:pt idx="6">
                  <c:v>10</c:v>
                </c:pt>
                <c:pt idx="7">
                  <c:v>9</c:v>
                </c:pt>
                <c:pt idx="8">
                  <c:v>2</c:v>
                </c:pt>
                <c:pt idx="9">
                  <c:v>2</c:v>
                </c:pt>
                <c:pt idx="10">
                  <c:v>2</c:v>
                </c:pt>
                <c:pt idx="11">
                  <c:v>2</c:v>
                </c:pt>
                <c:pt idx="12">
                  <c:v>2</c:v>
                </c:pt>
                <c:pt idx="13">
                  <c:v>4</c:v>
                </c:pt>
              </c:numCache>
            </c:numRef>
          </c:val>
          <c:extLst>
            <c:ext xmlns:c16="http://schemas.microsoft.com/office/drawing/2014/chart" uri="{C3380CC4-5D6E-409C-BE32-E72D297353CC}">
              <c16:uniqueId val="{00000000-8F98-4A4C-8AC0-4A4DCB5EC827}"/>
            </c:ext>
          </c:extLst>
        </c:ser>
        <c:dLbls>
          <c:showLegendKey val="0"/>
          <c:showVal val="0"/>
          <c:showCatName val="0"/>
          <c:showSerName val="0"/>
          <c:showPercent val="0"/>
          <c:showBubbleSize val="0"/>
        </c:dLbls>
        <c:gapWidth val="219"/>
        <c:overlap val="-27"/>
        <c:axId val="1901870127"/>
        <c:axId val="1901867247"/>
      </c:barChart>
      <c:catAx>
        <c:axId val="190187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867247"/>
        <c:crosses val="autoZero"/>
        <c:auto val="1"/>
        <c:lblAlgn val="ctr"/>
        <c:lblOffset val="100"/>
        <c:noMultiLvlLbl val="0"/>
      </c:catAx>
      <c:valAx>
        <c:axId val="190186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87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[Ecommerce-Excel-Project.xlsx]pivot6!chart18</c:name>
    <c:fmtId val="11"/>
  </c:pivotSource>
  <c:chart>
    <c:title>
      <c:tx>
        <c:rich>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r>
              <a:rPr lang="en-IN">
                <a:ln>
                  <a:noFill/>
                </a:ln>
              </a:rPr>
              <a:t>How satisfied are our customers?</a:t>
            </a:r>
          </a:p>
        </c:rich>
      </c:tx>
      <c:layout>
        <c:manualLayout>
          <c:xMode val="edge"/>
          <c:yMode val="edge"/>
          <c:x val="0.12447701332064254"/>
          <c:y val="3.8095238095238099E-2"/>
        </c:manualLayout>
      </c:layou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pivot6!$B$21:$B$22</c:f>
              <c:strCache>
                <c:ptCount val="1"/>
                <c:pt idx="0">
                  <c:v>1</c:v>
                </c:pt>
              </c:strCache>
            </c:strRef>
          </c:tx>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invertIfNegative val="0"/>
          <c:cat>
            <c:strRef>
              <c:f>pivot6!$A$23:$A$26</c:f>
              <c:strCache>
                <c:ptCount val="3"/>
                <c:pt idx="0">
                  <c:v>Jan</c:v>
                </c:pt>
                <c:pt idx="1">
                  <c:v>Feb</c:v>
                </c:pt>
                <c:pt idx="2">
                  <c:v>Mar</c:v>
                </c:pt>
              </c:strCache>
            </c:strRef>
          </c:cat>
          <c:val>
            <c:numRef>
              <c:f>pivot6!$B$23:$B$26</c:f>
              <c:numCache>
                <c:formatCode>General</c:formatCode>
                <c:ptCount val="3"/>
                <c:pt idx="0">
                  <c:v>1</c:v>
                </c:pt>
                <c:pt idx="1">
                  <c:v>1</c:v>
                </c:pt>
                <c:pt idx="2">
                  <c:v>1</c:v>
                </c:pt>
              </c:numCache>
            </c:numRef>
          </c:val>
          <c:extLst>
            <c:ext xmlns:c16="http://schemas.microsoft.com/office/drawing/2014/chart" uri="{C3380CC4-5D6E-409C-BE32-E72D297353CC}">
              <c16:uniqueId val="{00000000-A5D8-49C5-A31F-F833A4287C6F}"/>
            </c:ext>
          </c:extLst>
        </c:ser>
        <c:ser>
          <c:idx val="1"/>
          <c:order val="1"/>
          <c:tx>
            <c:strRef>
              <c:f>pivot6!$C$21:$C$22</c:f>
              <c:strCache>
                <c:ptCount val="1"/>
                <c:pt idx="0">
                  <c:v>2</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invertIfNegative val="0"/>
          <c:cat>
            <c:strRef>
              <c:f>pivot6!$A$23:$A$26</c:f>
              <c:strCache>
                <c:ptCount val="3"/>
                <c:pt idx="0">
                  <c:v>Jan</c:v>
                </c:pt>
                <c:pt idx="1">
                  <c:v>Feb</c:v>
                </c:pt>
                <c:pt idx="2">
                  <c:v>Mar</c:v>
                </c:pt>
              </c:strCache>
            </c:strRef>
          </c:cat>
          <c:val>
            <c:numRef>
              <c:f>pivot6!$C$23:$C$26</c:f>
              <c:numCache>
                <c:formatCode>General</c:formatCode>
                <c:ptCount val="3"/>
                <c:pt idx="0">
                  <c:v>8</c:v>
                </c:pt>
                <c:pt idx="1">
                  <c:v>19</c:v>
                </c:pt>
                <c:pt idx="2">
                  <c:v>12</c:v>
                </c:pt>
              </c:numCache>
            </c:numRef>
          </c:val>
          <c:extLst>
            <c:ext xmlns:c16="http://schemas.microsoft.com/office/drawing/2014/chart" uri="{C3380CC4-5D6E-409C-BE32-E72D297353CC}">
              <c16:uniqueId val="{00000001-A5D8-49C5-A31F-F833A4287C6F}"/>
            </c:ext>
          </c:extLst>
        </c:ser>
        <c:ser>
          <c:idx val="2"/>
          <c:order val="2"/>
          <c:tx>
            <c:strRef>
              <c:f>pivot6!$D$21:$D$22</c:f>
              <c:strCache>
                <c:ptCount val="1"/>
                <c:pt idx="0">
                  <c:v>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pivot6!$A$23:$A$26</c:f>
              <c:strCache>
                <c:ptCount val="3"/>
                <c:pt idx="0">
                  <c:v>Jan</c:v>
                </c:pt>
                <c:pt idx="1">
                  <c:v>Feb</c:v>
                </c:pt>
                <c:pt idx="2">
                  <c:v>Mar</c:v>
                </c:pt>
              </c:strCache>
            </c:strRef>
          </c:cat>
          <c:val>
            <c:numRef>
              <c:f>pivot6!$D$23:$D$26</c:f>
              <c:numCache>
                <c:formatCode>General</c:formatCode>
                <c:ptCount val="3"/>
                <c:pt idx="0">
                  <c:v>39</c:v>
                </c:pt>
                <c:pt idx="1">
                  <c:v>42</c:v>
                </c:pt>
                <c:pt idx="2">
                  <c:v>38</c:v>
                </c:pt>
              </c:numCache>
            </c:numRef>
          </c:val>
          <c:extLst>
            <c:ext xmlns:c16="http://schemas.microsoft.com/office/drawing/2014/chart" uri="{C3380CC4-5D6E-409C-BE32-E72D297353CC}">
              <c16:uniqueId val="{00000002-A5D8-49C5-A31F-F833A4287C6F}"/>
            </c:ext>
          </c:extLst>
        </c:ser>
        <c:ser>
          <c:idx val="3"/>
          <c:order val="3"/>
          <c:tx>
            <c:strRef>
              <c:f>pivot6!$E$21:$E$22</c:f>
              <c:strCache>
                <c:ptCount val="1"/>
                <c:pt idx="0">
                  <c:v>4</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invertIfNegative val="0"/>
          <c:cat>
            <c:strRef>
              <c:f>pivot6!$A$23:$A$26</c:f>
              <c:strCache>
                <c:ptCount val="3"/>
                <c:pt idx="0">
                  <c:v>Jan</c:v>
                </c:pt>
                <c:pt idx="1">
                  <c:v>Feb</c:v>
                </c:pt>
                <c:pt idx="2">
                  <c:v>Mar</c:v>
                </c:pt>
              </c:strCache>
            </c:strRef>
          </c:cat>
          <c:val>
            <c:numRef>
              <c:f>pivot6!$E$23:$E$26</c:f>
              <c:numCache>
                <c:formatCode>General</c:formatCode>
                <c:ptCount val="3"/>
                <c:pt idx="0">
                  <c:v>78</c:v>
                </c:pt>
                <c:pt idx="1">
                  <c:v>79</c:v>
                </c:pt>
                <c:pt idx="2">
                  <c:v>69</c:v>
                </c:pt>
              </c:numCache>
            </c:numRef>
          </c:val>
          <c:extLst>
            <c:ext xmlns:c16="http://schemas.microsoft.com/office/drawing/2014/chart" uri="{C3380CC4-5D6E-409C-BE32-E72D297353CC}">
              <c16:uniqueId val="{00000003-A5D8-49C5-A31F-F833A4287C6F}"/>
            </c:ext>
          </c:extLst>
        </c:ser>
        <c:ser>
          <c:idx val="4"/>
          <c:order val="4"/>
          <c:tx>
            <c:strRef>
              <c:f>pivot6!$F$21:$F$22</c:f>
              <c:strCache>
                <c:ptCount val="1"/>
                <c:pt idx="0">
                  <c:v>5</c:v>
                </c:pt>
              </c:strCache>
            </c:strRef>
          </c:tx>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invertIfNegative val="0"/>
          <c:cat>
            <c:strRef>
              <c:f>pivot6!$A$23:$A$26</c:f>
              <c:strCache>
                <c:ptCount val="3"/>
                <c:pt idx="0">
                  <c:v>Jan</c:v>
                </c:pt>
                <c:pt idx="1">
                  <c:v>Feb</c:v>
                </c:pt>
                <c:pt idx="2">
                  <c:v>Mar</c:v>
                </c:pt>
              </c:strCache>
            </c:strRef>
          </c:cat>
          <c:val>
            <c:numRef>
              <c:f>pivot6!$F$23:$F$26</c:f>
              <c:numCache>
                <c:formatCode>General</c:formatCode>
                <c:ptCount val="3"/>
                <c:pt idx="0">
                  <c:v>55</c:v>
                </c:pt>
                <c:pt idx="1">
                  <c:v>51</c:v>
                </c:pt>
                <c:pt idx="2">
                  <c:v>76</c:v>
                </c:pt>
              </c:numCache>
            </c:numRef>
          </c:val>
          <c:extLst>
            <c:ext xmlns:c16="http://schemas.microsoft.com/office/drawing/2014/chart" uri="{C3380CC4-5D6E-409C-BE32-E72D297353CC}">
              <c16:uniqueId val="{00000006-A5D8-49C5-A31F-F833A4287C6F}"/>
            </c:ext>
          </c:extLst>
        </c:ser>
        <c:dLbls>
          <c:showLegendKey val="0"/>
          <c:showVal val="0"/>
          <c:showCatName val="0"/>
          <c:showSerName val="0"/>
          <c:showPercent val="0"/>
          <c:showBubbleSize val="0"/>
        </c:dLbls>
        <c:gapWidth val="100"/>
        <c:overlap val="-24"/>
        <c:axId val="1959199615"/>
        <c:axId val="1959198655"/>
      </c:barChart>
      <c:catAx>
        <c:axId val="19591996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9198655"/>
        <c:crosses val="autoZero"/>
        <c:auto val="1"/>
        <c:lblAlgn val="ctr"/>
        <c:lblOffset val="100"/>
        <c:noMultiLvlLbl val="0"/>
      </c:catAx>
      <c:valAx>
        <c:axId val="19591986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919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Where do our customers live?</a:t>
          </a:r>
        </a:p>
      </cx:txPr>
    </cx:title>
    <cx:plotArea>
      <cx:plotAreaRegion>
        <cx:series layoutId="regionMap" uniqueId="{00000000-7BEF-4508-AEB1-AB9E76380636}">
          <cx:dataLabels>
            <cx:visibility seriesName="0" categoryName="0" value="1"/>
          </cx:dataLabels>
          <cx:dataId val="0"/>
          <cx:layoutPr>
            <cx:geography cultureLanguage="en-US" cultureRegion="IN" attribution="Powered by Bing">
              <cx:geoCache provider="{E9337A44-BEBE-4D9F-B70C-5C5E7DAFC167}">
                <cx:binary>7H1pc9u40u5fSeXzpQcbCeDUmVN1QEryvsRZ5wtLsRUS3EmA66+/TcfJWLKdV6kaf3h9rzNTKUdq
qskH6OXpRuvfN8O/brLNunkz5Flh/nUz/Pk2trb61x9/mJt4k6/NQa5vmtKU3+zBTZn/UX77pm82
f9w2614X0R8EYfbHTbxu7GZ4+59/w9WiTXla3qytLourdtOM7zamzaz5xWtPvvRmfZvrItDGNvrG
4j/f+utMfyubQq/fbr9G/nx7vS7eqE1TrJtbXZRv/LIt7Pj2zaaw2o7vx2rz59uty5G3b/7Y/dRH
Gr7J4CZsewvClB1gJCgWlKK7H/r2TVYW0f3LDsb8gEiGJJc/PvV8nYPg7yt2p9b69rbZGAP3eff3
s9fZuil4RP/d+9HczI9oBicCnP58+6HQdnP75tqu7ca8faNNefcMm9Ev5/v/cH33wP7Yhvc//975
B3iEO//yYAXsPu//6aVtkP+HBeCXWWvWLwC8PCBIEuph9zvwsHK2gCfkAMHK8CRzt5HfX6OnEd+R
3wPpHYlXhvC1Nqkey/afx5jhA06xK4hH5fefxxh71PVc5MG2/25T7nf3b+j0NMqP7moPnB/JvDKk
/5uB6bx9ic3MDwRigogfQPPHQBNOGPdglz/E+Tc0ehrm3QvsgfKuyCsD+bDNv5bZrX2B7YwOuPAw
Y8TbhRe8uIcpghXwY58/RPl3VHoa5kdX2APnRzKvDOj/5uvbsvnnYabigMJORUSwXZhhAXBCJEXy
zmfjnc28t0JPg7xzQ3tAvCPxygBWrbWbF8BXHriYUIZc9n2zil2Y8YHrMg9jsgPw3go9je+2+B7w
bgu8MnRX2aYoXgZdglwsHxtpcoClwJy6O054b02ehnVbfA9YtwVeGax+CdnfHGIZ+xKBljhAGHws
pfyZvQsgUyZcjmFXP/TBv6vX01g/eZU9IH9S7pUhvwRi4UUoEm/OojzXxfg75sCEbGXKWEJc5sIf
vJMp76/R02jvyO+B847EK0P4KK82jV5nL2C1yQGXRLiM4mdoMPcA8mRYAxCYzT87nvl3NHsa60dX
2APtRzKvDO8TID5fAGv3gPK78Os7lDOWu/t5NvKYEkijH9rwffV5GuEt6T3Q3Xr/a0MWGHbzAtB6
BwAaEB3MfdZUe/AaRNa70O6r0DPYbonvA+6WwCtD93SdvkzehMA+cwT5793PE4y1xC72BAd+5OG+
3Vefp7Hdkt4D2q33vzZkS/Pmv0W0yTYvsXvZAXIJoeLH7t1NjLE4IIwCOQKLYP7ZccKnv6fcM2g/
cZF9QH9C7JVh/xG2VHuXWrX/eA2SCCg1oeeSKgiwgfTCyEM7SdVvqPQ02rsX2APpXZFXhvLZ+nbz
IiB7B9IjwH3w+3rjbtRF0AGUoZhgeKfSvL9GT2O8I78HxDsSrwzh6zJbv0ieDNbZxUxwfu+fHyEM
FWUmhYvYjn/eX6OnEd6R3wPhHYlXhvDZutEvkTjxA8mZCxv4vpy865+hZcCFVhKPyx07vbdCT+O7
Lb4HvNsCrw3dTXFb3rxMN5A8wHNRgvN7GuTRFqbQNcI9SuVO/nT2O0o9g/KjS+yD9COhV4d2cwP9
S/4/3vjFDyjypCe8+5Lxo82MDpjAEmJt9lSwfbbZV6/n0N6S3wvqLYnXhjPULTbNZnwBpL0Dj3uz
V/6eNaHdFj+CDzzXYx7d7Q45+w2dnkF59wr74Lwr88qQfqe7TWP07UtQJPRACuRSes9sPqY2Yddz
joD+2gmyf0upp7F+fIk9wH4s9MrQPl9XL1OHJBJ4TiAy74zz4z1NDqAXCHoMxE6xeV99nsZ4S3oP
eLfe/9qQ3XTrF2nmA7bDIxz4kPtM+Ql7jTC05TK5k0ed763RM+huy++D77bEK0P4olkD1/kCHplC
tREyZeE90wEETffChS4vb5fi3F+jpxHekd8D4R2JV4bwZba+2bxMD5+AIxOA8fdOvcf2GR8gPleb
yc9C1cOKxf56PY3zjvweOO9IvDKcr9c3DfReF/YljtCIA5d7EqhL9B3LR83X+IDJ+Q8UneefnbLF
7+n2NN5PXGMPzJ+QenW4F28CvYleAnZoGcFAhkHbyG7/AIdubCrgTNV9FXq7GjmfnNpbp+fg3r3E
XmjvCr1CsI/Ldd2+FPkJaDPCyDMRN4YiFXQeSPk9bHu0y4s3v6Hc87jvXmRP5HfFXiH2SwjXbrS5
KX/st3/ifCSH3j6EuBD3NNlu8x9w3rAi4JAV3cmo523+U6N9YsjnIX98mT1Bfyz4CmE/g5OdL2Hf
OfCfjHP5w4o/cuuQYhMBfDl7YqvvrdTzqG9fYk/Et4VeH9rQ1K3Wzdf1i5So2byV5/LV842+nhSU
YTgVe/fzw9D8PBL9e+o9i/0Tl9kP/ycEX+Ua8LOXWQFAj0J7ETSYPVcUwQfgCTBwLzut3mDt4dnv
rdavkN++yN64b4u9TtSbdtrHk/7mCAToTOEMM4Tvd/VuPD+fhCcCooBdvu0e9D21+iXmD6+xP+QP
pV4b4vH6RU7wMATZOtS6BL2vhj3RRQq5GxJwan7HvO+t0TNIb8vvg/K2xGtDuCzKHGzmP17ZFgeM
Sg/KI8/VO+8yd49BeLeD8N4aPYPwtvw+CG9LvDaE7brQJlu3L9EszA88huAwpfdcNzgwrGhuF+Y7
zUgwCuY3tHoG6cfX2Aftx1KvDPH3LQRmL1ExgYMdFGGgXu759N3GpLsW4Tk0c3cmmeyv0dNI78jv
gfKOxGtDeBOvX8Jqg1+Gs3UeHAB4JvmCKAwOzWM4F/+dgNtJut/vrdczOG/L74PztsRrwxlaSGHE
2D/vngFoDoe0gEu9D7ef4FXmxgVIsnch3l+lZzDeucA+IO+IvDaUWxgvlhcvYbGhWVjA5DggxL/z
5bsWG/r9qSAYC/LIYu+v0zM4797VPkDvyrwypL+U2UuQpAJ6CzlQoAj4kK1DtNBUCC9wDHOJtoPs
fRV5Gtot6T1g3Xr//wJIf63i1g3PgwP/++PZPlHq+N1JkDDoEabOeEB+Pr1hIcTyMCRVGE7oPMF+
Ppxi+b2V4Smdnkb1oezWPX6/xV8/lJcZ6fj8uMef4zSDtV0v7gZxPpj4+OtX724f5ojuiN6fVn3i
gf3s3ju6/fMt9PpROD0DhaafMz7nC22ddb2ehxY1P5bFttQGKJU/3zrQNHgAgRTMIHKpi12PwN7t
Nz9fknPbt8cwhgPwAjZvUTY2hkmh8oCCpIQZc3A2HjqTgB4xZXv3kgCXzuaeU49jCgQ6+Tkw9bLM
xqgsfj6V+9/fFG1+WerCmj/fwtm/t2+q7++b9XWRC5aDEOzOtVbX5bNtqW7W7+Yj0/AQ/k9HCmJr
R44XEEKYJXKyYmEYMqlKqQjrE4GSwVV15zqO74ZFddb37TXK3ZUr0k6ZZmqVjpF7OhRDrbqEFKo1
7BhmnCI/G6lZEmzluVf25eHQ1dUVYU2lPGadk3yM3JVJys9ywonvuOimqBlSOJ6ucl2mKuzLLHCq
LlM04heTyDq/KDukooqnvi77SWERUdXqqPCLnFyl1MmOurxvgzx0F6iJ3UOHD4NyaWiOcNoWQkmv
cH1dpe8YFps+ra/LTp9Wed8EDfKco2RwhuNIZpk/WVldoNb7ixDyTtZwlRCnZ9CT0geMtIEZiiwI
e3mGGDwaSjI1RN0VSqePeVt9kEl9omPzF3LoKqlyUHbqiV+I5JS546Da3j2bKnE7ySz1xzGtfUG6
k5GXpR9mfe07rc1V7A1LScKbNKZGuaJchqVZcKc+K0j1OdF5rTitQl/HebPo3fHrpMk51g38Iqp3
Oo4yHyW0FpeGCmdcOW0xqiqGzwtR3/l1UwYCN4umKleED0sk+xVB9qTFcombaTMJoRcu706KwW18
3nChjBljVbSm8lme5H4j+upQRrJUPWGfqjY7ax0aBTWrFt1A3MCMm5B7C0Iq65MwWo9j8a3lURnw
1C0Cy6ZyiZHNzkRGLsNm9BT3anRYJdVV3ExrUZtQYetEfpyVnt8w46rCK486Yj8mSXnVohwpz6t6
JbJkOdVLN8sbP6bFqsXe1dBHn2xRSWVzcxI1Ngs6J+8WwoPlKowbKp1GNuDjhA55VuhFmRumyii0
C13Lj1WYXKZ5VPu18U7CXjTBWJshsK5eo3GKfNuVaz7QxjeDowPjhNNhaEsW9DZNF1XEtMpJixTC
UxUMLGIqstE1DzmsqZKSQ5LnZzYsB78tUqnCYXKUrnmsKGMnmdNfeTj+UnAaqmLIxcI13mnukUNP
COt3kbwYCmOCzCGuz2N8hCJklFdhq9w+jFWSDRfl4Bw1pW3U2Kc3bdJ+SnL6tRr7y4S1Q4CjfANG
6rwhUa6aXpx3vYsWiRCNCk3RncrRXNKK3iZMV8pU8SHNxq99Is8HUlzrIkv83J2+ZLVFyjhutBRu
kiyrqGmVDb0vpqyvSBRnKknSTTJ19eFIwtXU9twnmeMpw0ymZKSvyzjqYVPrbOFU6aeiLz/hJh6V
17F1g5K/Cq/NAf7SqqoMK6VLetaW4mPSOCc46o6FzNECDe7Ci6vjsHQTvy1bv4OBQiqRzhdbjyue
wGzpJs9Uz02v4oh/thOxKo2oPOwqLgOTy/ywx7DwaiPZBUlL4QS1O+nbhwOMt8ztTVmNjY7i+xHV
P3/9z/syh//uJhr//Y/zhOu/f1ttyrmoaXbfNLvFn+/6eyry7IZ+jkjecW7fx2Q/4/l++eJvuUUK
rvIXbvFnA+Bj1zhLPnCNiMAECQSBjkslAif3wDUKj8D5x/tXQOqHa5z9H7CRkMrAX8SdGce/XSPM
kmHz1DfoEBGMit9yjQwY6l3XCAdsQTuIA8BHuvBJD10jTbrCTOXQXwyZQD5rdbWkXZwsqqTzcz7Y
pXFSQ9Xgsu5Ln+QnlRnkCs7Vc8Vqrf1wjEwQFgK/iyJv4Qg3V/lYcN9D2jlBdlq7IZnOZWs3vVeD
eU/SSFVZeE1bxzsruixWY0frZQWO8xwGki6SKP5o437Ro0IvtRTHuSXHrMHf0mH82Mf5MWfpRZ01
AcfkUOo4UTLJY6VzWgVJhiM1jTQLBsSMH8k2Vsz1NglnH3rP+SvtnE3fxXXAwzH3hx4cFRQUbmvw
0ipFzrlFXRvgBvxIn/aF6qT3dYxZGkjXw37GO6u61uqgHcuPcV5eES9aeGWTKj6y1q9b2y2iZtVG
Z5E+8ir6DqzrGc3CzZTlaiwuPVz1AW3S80J6y2lIPuU1VSH4v7hw33cuGDeUfBsjVgU6I1eiGUcl
2gktush8KB1L1Njaym+zOFsONhtULWkdNN54nUfWDSzv2aGBQManWdwsUNFyNZVs8nONJ9+EiVw4
1jMBs9FhGjOjcvDcbesk71yckWAgWamSkSUKa7cL3NKhZ02dasVLcKapwNXx5DTvSjNkijklWrWD
OXIR1kFDrV6yNnEP21CO6ccicnh0RsyUf0qM60iV5XUFj6+b/IF6veoG3S8KV3wzMj4c4u4itk3q
09xYDl7DGvlXM9uoPCu5E0icyUPNcLgEN4EvONKDbybZ+hEZi2XF+vIsn4j+IHrxsbF6OIQ+i79S
PeS+21X6omcJgfCqbZZkFO9l0R9RCOqqJmxX2YSzwwbjD04b4qBFPV0M4VSsur6I3uVsDj4MKS5M
IYMawbOkpjsb4rF8DyuA+xXjpZ/U2XBZjBC0iLav3kd199UQ5J3wlHS+l8SbCseDP7ERLbTE544o
Q6tQO8Cjd7HPpW0PmzZsDknjZde1V2cXXcmL9ykZbVBhHfsdq96XwgbWeo6a2smqSLuHg1ekqg2d
xE9oWypbjhe9laHv0Gbw87SUC1eT/sR6WCxHHXrHdkTrIaz8Ou4/ipFVPi3QCNFAlQQRk6MiA3OO
HEf2f6VJ36tiqsNAC1ushqpMb1LqmsOs7Ws11eI47ePhsJusWDRWTixopipUniubq57i8DSOqDgT
3XhuoCdGycwZfV5q2Jl51ywHJCDIIIU5c8RUKoNTpFJ3mBb/3x/dpWlz1vK8P3o4kPGxR5plH3gk
d245ovJnRvbTI0HvIYMeZEhdPEDIg8Twb4+EEYVRwTBPB/In6F/82yNBRyMWLvQtezPHymHcxg/f
vBU9QJZ6//tWsobA7e14JMnvzgkLOE08543bHknmfJJF53YXWadJHPpNXaLjbMDsuJjKBJa9l38Y
k4goPjinoiA0SNy8U33iBXHhQHZlk/dDZE9SMVx3aDgdQ5xAZuBJSEvEpCY9HUttP/b5eM5zeuRq
T4GZLlUtzEU1DMde1Xr+kNdHesp6lRuj+jCCQJbLYdVQ+o2KyPq9qQuFdDr6laZk0aQObBDBlm2S
CJ9lqFXSxF9GD8y6ydi4kHbMA9RU75nXtoq1DvHdNPJpNSF/7K1iYD78pgg/ZRLDJvFGv4Ew2NX9
V69NVRLWeQCjBG/qhGu/8/Rnrx4gLubeER2E39aaK6ckn72IrQSvJj/s6TIWjQN2Kz8kXucGXSkO
zZDnwci6Rulu+DqW4dfcDheojGvlpvaLRlL7OUtXaTociTgqlniY88bOKZWIqtsIUsFgwMXnCiJS
ReOOBiE4dm/28CYd17pyw5PWBfvYuATyuzkgmCMDYngTsDKMfe0yrsCJyFXfpyfYrbsvQnYNZLhA
GSxLCDkmxvWChbxcQmYN6fVsH0QcQ0oswWa0s/UYZzuSzhZFzLYlnK2Mne1NY9J44eiyWYxIh4sC
GX2iUZmthOztNXG76WM/dXFQoixUqcnQ2ejlfDn1afqlbDpyrDn3Pncmz9+ZBteXsUf0ESSRw2kt
Qxp0Y1YeE6+GVMBhLDkN+6IKF045nLbNlBE15Sj8OgjtiKB3nfqoIOgKzDFexHFffUAjPPhVCE0i
fzmJjL4xkbWLXBKieju2i1QIf8xJrUxStQosLKybRp9gQ87sOMFT7xd1H52aov6CjJG+U7fnTVz0
h2FohyVHHSTdtJRL7sadYkN1ziyxyzpHfsIbu6ixPAlDD+KcTBNV0IkGXieLYGIpDkosdMDzES3L
lsbVguhrTotqhbWXnpVSiJO0jbqPMhfiyAOqXcUOCleOKCCwcJpvAwmdwxy8ySBGffz/ojF/aI/B
Tv6SbnvIXH5nPe8orDupHxYcw3T+eagZ8iBghzmxcMGfFhxaTudjnnPyAMzrbDzvLTiDpjMM4/7h
ex2AbiVYPLDg85gVuCA0pgtoYwI27ncsOJ4N9BbbJqGkClPzPJgQQOF8ww7bZidaVnXbDudFT+Wi
g7y9UiVNgNJKed9deY47HidDV6QLhMDsALXQfUiZAW7NyKL+9MALPuFP5jmMu9qAO4MhjuDV4Bst
5urBwwSHFWOVyrjtzkld4PMonYpQtbz0Yn/obClV17P2C+8qR6smFxZYkaSBJCWcDGc+nMkrbqW1
6AKuEbcByTL8YXIdgVej54YbPDp4WP5aY/IoJQOnB6ZbSPC2HHLAmc18wFYyzWPAdrTndHCjKPCG
KfvQwRwkurR8LF3VjQNOAs1DoSbujVqNKaIrMIgjBmNd2tt4MAb72qmApYIvn+qAJopRp3gDLmcR
lUl8mbbyOIcI3ATQ8iQ/mrg+SbPeHRbaQF6mm7jLV7++q8cwwOlEBDNx4StD4DDT3U0/uCk+OlHv
VJk5L2woP5aRwESxlMDSqIp2uOyHRl5XIc4+//pj57X2cC3CtBEITjiFLyaCIUOEzmo9+FgXDZBR
mag4L8SEz3Eat+eFaXwtwvjjrz9pTpR3P0kiGGbD4Cs15ghm+5Oqgo1T3cTluagQW9d92WSr0IqR
qLSKF6hus8mnaBSQOFC3z/+nRbNLccNdEkSA4QbeHBLl3Y+HaR1AiRa5Pud16q7zpHXXaTbr4E65
WXhNWaoRAfSrPqt7ouq05BubSXPUy5GdDh5tkE/7pEzBYRT5B9pUEFjFYhw3ldNVAXKmnPuuLFlz
6FIPGPFfP715svXO44Mpm2A2IEODr5WBCuD240Ne6xauGzpnuA3ztW6siRR2UlswRYFajY77WKdf
IyGr02Gq46VXskH7BHf8m+XTVPojcGA+gxhioxvKbzu3ivl3b/T9q7ouv4P5MDZld2zIFsiUUVhE
c6MBnNNwOVSaHy4nrxEaWHdLzxJWV6EUgZXxtBrsQOXSdm3rN0ONrrp8dMFLxjFEQrhYGdJUq4xV
xE+zOn9XZW4+KJ4BhwuESnk0Ggs0oFtXHzyTiiCsixDoviTRSlua9CpMTHHeV465qJ2JLqIIy0Q5
U1jkPuni/ND1bPaOJNFlNBZ0UFnL63Mb1u8tgRwf3DyBB6lHAraBtdOkUA8sfRa74kuIWnYcewKf
TtHQSb9HMct9eBz6yAH+IVf9KKYAQzATTMlwU5naXrfIASq3zy1fhqZuj1hIyPs6xn26CrmDtZri
NPwK/fBNp3RRO3+1Oc+DqjLkKC2L6gjXMrvVXeXBvqd5eq1lOHDV1Sw6bsKm9Ud4DivMiLyo+3xY
sL6plxgPuFtkMCI/8rs+ErXfQV6wyA1tgraSF3HoRCjAuLSH4GpI7xco8ZSwPPs85Cg+IY2srl1q
3VUrE4csjZcDAQ/UzcKgIZmWXSqipTMMaE1M1n8zUVW5PpCpEMQXEeki4FuSEjZH3y/GqGvFsoFY
NsgszQ8LeCuUXBhUG7wu77hKTJI4Pg97DtQJBK+K2Sz0qXWKfNV46SJi7YjmZJnB9/k1aCaSWW2X
1PbSrAbKh1MvnaYsvIKM2+ZAHOlsLJrbOIwJmb6Y3hk40F2yAVNe3pAxTyxt4Fs32rZC5za1eTpA
clNPqw4ot/AobzSw3AmQO9eIO/QoGSltIV2QEACPNZIDwAVRXVBAbBj7Nkv7euGlfYT8JrM4vIhr
KNCVh+nI+zgYh0zaU89YCiuqD0tser8FX7j0nDgJLzrYOl7k16ISsOBoavJlkekGCKAanFe4GDrt
+U4I1WJXjSEqGHzjQpjnfizbPlz2Gc/yhQkhKli6RZRPvphcsJgFSYFcy+PGyVRngGy8NNrJ80UZ
afHNaTuuUYBKYleaiVacu04YhccF5ZYDaV4Mpp7GQwNjIpsYKhcxzxeh6aCaIhsD/OKYefl4CPF0
XvkuGTPt88Eds1Wja+34ACv55FT5hANgadM8gP+Rc5ElyDHwyIsCCg/AsR/RRtpskcbWeze1ltJl
AqkYPon72PBC8ZjEdhU2XVVcgzOmx0k0kXTZVqDBorRZBPkNHibpi2Ss+rNcjLC0HdgqTRBi3B43
1HWzIApp1Aa86ABOzQ3EJ8WU0GmTpdC4HAhQIA/omMf1EUaaHUaap55P0rSmgS51GExtmLrK6ZtK
XiZhnzCf6jqZFITtE/C0YcaWuAojF9SVvFrgMZ7Ko1jjPlqkksW9mt+nsNSygOUT0RroU+1Myg7a
+QsY03KEIg/sI6jQTYWetBIdc+j7MetJe+5VciyDQtb2zG0LcEmR4SkIyJzC0wp1jIsvQMcV8XE9
5tmwND0wgCfYRvY9EHju2h3CPFQCw+JdtsXA6cJ4kMWrvMVJHmS0To0v+nChsa6/ZH0PkUUSJd21
cb3+a9XE9LDjfRQuROoiSH5ECNdxszIZlkXT4fNpqCi7MtbF76EgB+8ArtgI3+KRD4uO5Ik+bAZC
+qOCR4ZcaIfLjwWq58WZJLVZ8czE5nIYmRU+qnvAJu4LUKw0YHRPwIPJj1QgWN05WMkGqpJyKI+A
6AzJZdK0afqOiEKyo4ElfXtmBzsHn/E4XLqp4w2Lss/ho8tymjo1kNxOK5Ty+eZn1YGsnPWqcnzO
3ALuoq1deFRxWqaTL9MOtk6VRam+KhoOW75pISqI4DWwqcQW8UWN2dgUilYxArj7ZmjPcieujNKo
rQdg7Diii7GryWw0YDP5cEdgQAaJ5zjZFvnHkFB5LDqthRKxC4XeYYy8dV9QUGNokvEdtQOCGiWE
uclJWRVpci3AW6xMgfB5LaP6C4PySa1iFmtyXAog7U/CuIy6YGx43UOAO9JVReCx+ojX402ape7l
0BpUHtZo7NJPvZdH5jAPnfzbCOVmsCG6zuIA8gBBF5qMsVlWXi4/QcqaL/O+ioDZZWDmxqaP3+nS
mhOZp4kbuAQqhmD2Zoaii4n82CROFy0yUsA2mZyQyiNWlLje5GCQx2P4Wh7YG/1ssReJ68ATHbqp
W4CT6esT3LTE80OZ2Q48LYWCPm/q5K9GdvK9M0KYfjxJ2+Bba4oRmHj4ytTuSPdQpl4MOfQG+KyP
vOioAlh630nnckHZdfZsGHl2nXSmVoKbQ5YPnXs49R6AkyJsplWVpWV5VngDO3UsYuUirou8O4nG
vop94Zo8fg+RiLlFsgAzAqbTdCqNTW+U7DtRgxcY6+ssqrH+jMuJik5NEIGNHypLHQkXM2GziLmT
RsdOWPVf4wg5HdRFjJceaYnw1TCXildNWxu90FMLi1QTm9DLIc0m9zz3qixTddUh74zhmA3+CNGN
WfRxBaj1otCRaiaeg+0wJlvggQ5N0GVENKtJ1LD6UzZEPBjDERk/rIxXf4KuAPw+iRtYa+DpoLCd
Rbm5LGSBwcCSSiZLkcdQcxjaLwQ4eoFVmnb8g0uKugeOJrLsjIWZ6N7VoZHAGkWwohfA583ldjSM
w6mmNi1PeVPF9JIMKPOOwqGUcF/D4ERnaeNASSc3IdgMiMZae5ZlIejfyDRamlikcdAPCB2NNYN9
PwLjqhULY352Fzrf9wvdh6Xf+10eFkof1k33KcCe/fhu4t0K7NaF/veVaV2oqD5Pi39pv64f0i/f
O55mmR9kCvQuQYrLgBeZvwsROpQekCkwxxAm38FsUmBH7rqQfpAp0LsE34wJpVsYfQdvmTnvBwVa
CbYFUkCYigcngn6vQAtnT3YSI/gMyjEcLoKT41BonLukHqYcmW0sGsoBXUAQ+jmUhbvyoA3ohDht
peDbwaord248agsGLQxpaJZlqbFvoT+pKd1C9XPLkoZU5rSZ25jYXUNT76066HDKxFCdNZPjw55k
yoob3KUoIHkPZbQWYgavP5KhWGpeoaDS0ao1YaYKCbVTKDZ+6IvmkOm4eF9HERTkqurG68VJCc1B
DYYiE8upVl5U32SjTMEXskLVfX84AMPuR1MZF1eIihVOGLt0KLSheL1c2B6Fft47YeCACfWzrL4c
Q7vmbXQT5qKHKl6BFtFY1UfgMXNVl847m4nscjamKvdiiDVp46pw5DwItcf8yJlSBWbtMh4Y9AJJ
emu0d/V/2Tuz5chxrEm/yrwA2kiQAMlbLrEpFNqllG5oqcwUCYALwB18+t+Z1VWVlV1dbWU2c/Hb
tFnflGVLISmC4DnunztLZi7hIEqYAuqToN4jZCCdEkm/afhRWb4WT93UAJXpjyNm2xgT4CE30Veo
VU0sy/KgouUOO8Z1z+lr3RRXco0eXamDmK1DG3fUedSBhCCMN2EogQdVed4kdGCf7djDwAz6T+EM
Vb/Xwo0N4+nsO7dh5btpmYs7EU1uTOo5nE/WOl1iG/0B4+Dk8OYSYi6abFscPdnfjzzq4MtD2Fm7
uk8CjmWCVyQOdJUGq4JDTMho8IbRoIsxIfbqEIIYyUTThzcR1XZfNSGNJy6PbmOi66LvvlGDm1W0
BsUdGWHPrYJ9ieikLsbSj6plgEk63jppKWl0gc9cJE0DAxyzZQF8qFaY+Bt9KlR7A2hLJ04V3syk
HRJAolDwbftRK9+D89eexo5eNOaBZPTWLh6E38Xu2Daxy8ge2qCfTO74xnX5rJTCVj1GiaEl9Gpa
4u9W4I9bNRKuRL8+B8LGbt6+10UONsoDl9eQOzfUH35ps7Fc9phcwqRRvEucofOOvDJHTASnZWCZ
X3g31lU3vjcuSVRFPIZE8uLM+ROrSX8YVNQmJQmeugGjce/Sc65pH5MQFo4xtYxHx7mv7XByZrE3
St4LASRgrF5np3uHKdomrnL71PbTJezUCLd+7uLWaa7BFTox88lpqjwfNAVGkxHmedoUwdkx7peQ
QqDvB/uiPQo3wNU73a9e3A6rwRo2HVUO22hqnMtc4T68AXJ8Q+UaLkzcgp6Den8dwZjmoOrkhteF
4AwGZ95hDqljsiF4ywbjKTleLRueZzdQr7Hs6wBybzYUJjVUApN3FCwh8D5F6V6C9wvB/dV18+SC
A3RJf4efr4pXEIIRSMFuQwbxA6fFOs3w7tV1uGGFgBju+8h7sxtwWPhllYgNQsRkQY7tBiZiqzlP
yjzAFftWglwMN4RRw4QPY38DG/MNcVw32LEO/KzLzZjKDYSsQURKBzQmGhZ4YjACwQSDylxvCKXd
YEoKqlK2G5K1gZY56EBQjMudRCAozpnzBZqgTP6f3I3/991nXWhd//4+uz1b6l/vs9vX/HqfRQUh
B7uPe1gQog08gur9m2mBqBZKT3wGBXO7m/4AQjEUG26VKFt+GnfgH++zPop0cKd1AobbIqOe/3dM
i+/K3Y/KHkNz9ZYUg0PgbDVcP4nugasLB7P3cAlwPsdqEl2BjYbiKDV+tA+m8HOfF/POaFZiPV4l
Lt66D0cbpYGg8lVQ6JZQotrRHH3R6zqRo5ydTBM2Brfa77r5tpn1RXtKPJJuplFcemuwk/3a34VV
Kd+8iq13WC2KvXZy6mYFPrO5BaFUiZT6a7kbTN+DP2VLt8lupJZe5kLj6l8x48pFx0u10mVNvZH3
Akxyswj3VNfz2j4Uq1VkL0wuaTa0gJQiD4KZCJpiDw+Ep107yz2uR5PNJnf3k+IuVhuoSA5OzWdY
pqOLe57la+b1oy1SS6N1yarR4+ZaBzlZs8aHPnl09MqvR9uXbappyx8E552Mm0DLjGPT2bu44Q4P
yqu6KOO+rm4Wyku6NwH+G9JO+2mdfWib2hRK4tZWtsHRVHhKdfbfSxSEyFb9+VeX6D8fk/7zVfrL
l/16lW4k/1bhHkLdwuwaQKb/7Sql22PuQt/xPOqA3Mc//QqHIJqFFAGKoEGP+HAl8U+/4oooPcJD
EKHtc9Sg+PCz/85Vis33X6ZheJccMYIA6hse3PWTyxIuhYnGsBxvpBj0Kawi/7prlquwqUzCxu6Z
g3AwclCHpg2q9VvZ9obcjWDprFlFAqWtuotK3cSDsndD4Z/avm53pupF7K4WFplycaFUkx/7utwV
aiqP0GEdjLe5H2NTLsokmkyzqzFkjQ+20K8RoLCY8ADSGcQwmWBA8E/TQtYT080CfMVurvhYKVw1
8MkHGOZFBOdcbB66dVv4BK6KjtXmsOvNa6eb6x7+4r8/6O+GfLh583pz6aeOOGmwOfft5uFXm5tP
eYTNGQa/+u70F27CNu+fAQIINxpg2riAqVqXmGysQL9RA93cX9yNIxgAFHQACywAg9KxKQVw4PjF
1bwRCMPGIgioAjH46WQe+zHDNEnjIidDhhcrPhBg4G84Dad8Z5gpMRARKLdl7x6ibrwvlfcQSqcZ
MXCVZLgTmDMPzOikMSU/GGb75oEPDsbYcsyDKfaC3N977jzJmOXsQ+XjfBS2HfcgyVW61s2tlf0F
J8epqcqLcehVOJBd288nUvO0XbF1b1SOXBMm9Ne5ofdiiF7/e3jg8GDYgf/q8Pj+iOefj45fvuiH
oyNE67/7y3X+nS/44eiIcHLgfy7DA5twq/7t6Ij+gR4cmNd4lhOUPmQAfj86kA/aAp9b6tNFIR4e
JvA3uDJszD8fHVjXQ0j9Iap38DzH7dkEPy7SuAEFdBnD6IbWnY0lQ3wBPFdbNHceaUqasRJSzlvk
0e4OPFjDT/UkmmSdojOX0blrIoWhVL0r056sgRtBh2Jnfb/FHulVQE47bz02i2eycYruVDh/bGIQ
oiXh52ikexLQpOhFWjCzdwq9DxvvsmhyIKJ6Z93iJRvQX8j5TlEhYz50adHxAzSGgyOljr1uTkTU
QmWXdo+HhV/oijs4hUU1l6zajY49WBdgV0Pcd1m78YI007ELg09AVY9rN3/BYXQdRtA3Myyj/DXq
ZIpAg4Lx2H7rbJgq+BoIFwwWKHRrblZCdgsuXViM7sEM7dWkME/PgyORmSJdpuugOWKDx28L5i7t
2/WlBiKLgRq2oexp3Cls3FR4UHaxOnhjseuUVyRuVwSZnN3PoequVK8mBGqwnuIcfK2X/A343EPZ
tDeQOgWW4Jzt6p7ivHCa4ww6K45Ev8AWrlnqzP4Ut3XY7vUGoo0whRLYtmct7V3N1LEvDIR4Kr/a
egpjJ4SPDNvueVuzkcuwnxs6zjg13Y+BkpM7jcd5sGfZCWyz0SDhNQXNIZrHGSELwBbWJyRe+HBe
VfWtJs38Ce/n1cDe1hpqpuiTqapuKyOxpecPcy+HpJuV7GFKRqY8E9qMmJEQytng96oteexitzSX
pWDBsepDH7mzqdwLpFSweeEWd00DUp4C1U57bLztEX8X7WS+I/S+zMPoIcfZGCF85i6QVdqVHyZm
fZDNzK/SalyKvWtbpFSCpqPnoKrGl7Dl4QFqiPMLX/F/W3z837fuQLb7i3Vn6+I8j6L/PzfvGOZ/
6wf9PR25ffmvByNyrj7yFXgCMMoAEdn4cfNx/7HVPEP1i34Zq34/GLfNB1+Dvm+4Q2C8fjgY/X+A
O8KXOVijkJ6EZPk3DsZ/ORa3JYrh0Q5Yel3sUT9NVB31WI+drLgpqiLu6ZXwy//AdqBR4w9Hb4gR
M8Sxi2qdcEPQvt8afjx6a7d1Il3ZBfhVcGzKMdrBUJPdLqiXa+j8fIa1if0AExg2BaKxNLhDyB7o
oAVifEPEr5HQA6vSFLm5HjsCBKD+vn1wThxQAt+3Eke7wZr1WLpaPTsaMQf4xB3xnf2y7TJdW9Bs
xoa670rfZP2283hcO3Ez8VswL9i74O+m47YfCVJUFGmOVpJ9832Farq1/IDbPu08V+SrTMLeIVlU
WZ9KKEf4r8zVfg3Y068d7wHhPIVZ0CzmbljwU8CS363EhQW7lJ88DXd4KbvYqUANq0gdvcnsp4Cf
55G7mCPJZSynZ6a8RxP1D51az0UzPXNWQ+rgpo2V8M+m8wETmHNZQr4rCnWEYoq7y8KvZreKQwfi
yVS0eyQmkNTLwWW09tQx51VLaaGsBpvUZW46weUhasrzuDjvJVf2qtQeMJrcXxE8dL8hnFilNsJ6
1nIZDxHGzcL36t2wLGzfePl6Zay+mnKyX2qF4RYqcV2xLoWHApVXg1kV1/XMvCz3fBMXpd6va3fM
O3EPEbbaywZRyYKoY7e2eVz07rHpFwi1Zf0AIPiq9JY5JtbhX+D09YntijmBgrBbYPTEiwtQGHEW
yHFNWk/5cdHmevYbTPISQLOCG8vCEKNkIdkD8zGle4s/HvqmQdIyjygitP6QOHa4NnwiSAt1xwkh
o31bOd8AaX91axbuOxACV15Ugz4oFRN3ugnr1F18wSDtIcEXuOQUKenuEb35okh5XDlyRG7wNJRk
X5U5MBTbZbkCo+0Bs6nDu6lpdhFiKbLLs94lSc1ndZgrug/ngabGwx+eNQGYhenF3dRkDWk1iKK3
lU/XrTN4seiWE6uc2xXfdHIbEAMlFDh3P2oCfsX9RshyRPDn7GHbiIJn3FTbcD0F9RrumCyyLmBP
ZnXjEgT4BBF6HMLhyq/VGQDEbZFLN/Go4pB0o9eqoK9bL1raze458psimf0bUx5s7ZdJuY4e9G6z
C0ryGC79k6+mbCnUkrKyuPUnTYHHY+/CEHU1tOoIxQVK4eQ+a1I+hmH9RHQbrw0kyUJ/wPo8mYic
wOCsIKD5ychoX3GgxnA6U691oXiM/nDvz/KE3++KSecNCTIZI+wl4qjtyh31tLzU/qIOC6npaztj
9ukBiHdwpG3+VA+5ul9ySDvLUrmZD9goJmIoU0OwWshqQBAXHHZsKKaZGZfFedJMXEZ/JTauuinv
k1Hz7QqDdoSsQIS0V2jy8H3lYZGWjD+TnvJs6vkFDFKe5ZUGdulHPT7MngKyOVZXNkTct6DsfnCc
LvbMbNJi0mHsuvJqahHk0mqO5dzCmwWyuAN48YnzB4l3PjUjWdNg6ZtT6FX8OsfMky2rFrHi7btf
SEyMxpa45EBx+ewRAyZkcmnVvrDFGfPgCkY0v1ND+z4uUSJzmYYSsHlOnIccJobn6bd+VBnyFYdJ
Dh9BN99AjpK7Iofe7s3VK5XjruTB2wZ6jCHmO9+FkgySRMdwscNYBvbc5yy1ViSywohn6NeaD8te
G5bKZnqdvHzP/EHDUxjf+sHf6Q5vs4KpkwcvbtM/Aw15YW5bx9EiH5bKnptoPgwGkT4yy5eitLDI
cYkuy/WU1/uizrHpVfx+GNYbhMNel5JdWnAtoT+9zGuXuHMLnn+ddoCPcFjASMG7kTVcva1GwPGW
fO9LxqCaGQHvSxyLfimz0mvAZzL+4K541/rKVXHRBI9mEqfB40PSC+cVd4IrkyO9T0RzK8Q6HFpZ
vDBrkBJzQEfWXobjJiXjcu01+O3rMjiHY3AAVXxyB/Ya6SnNASzqUN14LDyoGtICUCikqtVngpAu
m8UBtOgcmzH/7AzqhL91KlaMeiCGTwDI7nrt4Mf0+xNYpEPH+Fvu6CPyCaDNpofcD9IwZOsOOYs2
rkV56/jLB1Lx4K7W5s3xpRfTVVxHrNobcIJ1M6ypatrDVCDPjOixPaPJIZWUItgg3njeXjmdJ2NK
22HX1I4bt74/38L9LOOwKzxkF7pPjVOCoXPCGwTtkZhvjLnq3QBZ8nKpd4zzL6IiUGacgnyaNcfn
BcAPYhpIj3m+qL4uSNWl1IOSmc6WXgOdyj9+mM/+hN2EBPUDX7qNIBFKHCEdoaMCijL/idx0FXNh
XOTkIuUTV88qevfZf0Cc/9NLbJPWD6yxxaeYKyTzLo5B0ju4GfXNIm//+tfY3N7fZepffw20mmE2
9Dio/T++BqWjredIFDfOjLs8OiOG87I8EpL+9ctg9/+XlwHpgr4MPMPPRzz4jy8DRtx6gZqKm7Fe
MyMRRgHzR8zT6N/OkxvzHul79v9l1gOqwu+xjX/SBvgg/Hvn5J+P//7zL/tthUAt0pa+Q8csNNE/
aCvYLti2KXh4fBeyHT9m9nzIsi6F7Io+JWimiHX8JsvisaugaH95iKP7/Z/+xgrxxw8+6lVQjYru
ATwaDs7JpgT/8dOyOKSYuq4ZL/AZ0LwxYpJjsQjr/7BHuN8/dr9/+r+/EKNYoPDRdyh1fk6WuACq
DJe+vjgji55UaQhHSL2y6wHuEXo8vKEZ/SMO0/VBUnB0mPb9FxkGxatuZXjqChtduUEN9hhZiOW2
tN69Z9sJ8K4tgh4ah+y9t2kxPLydczNNO+mi92LyJ6AMilQ3s6x6NxNatxRgXjVOCW7puYxFnzef
EAZE9jZcO8ghzRdW+fMl2EwOf3R0lbhaVXbX5lB6qgkJsgoLSByIufVunMll6jxV8qYbMAHUkGpA
xd7iWU/fWK+/NqYAa+08BjidkajZM8LRaeLgtyBaZJGf76I6Y0t9zK01qadqdHZ0blpZ81GG5f2q
/YtL9cfoTQ8IyAO18jv5CmmhT6NCjdck0N3FgJU8VSK61lFdZesKl7shxPvwZd8cwCw5iG0YnWHM
Bk1SEZbRObz20HrTN/0MVz6c0kKsdD80wZN1yaeKImaPtAGDtz8UNEA4jZb4WOR1hvYekSHchG8x
0J0Lh+mp8wdvSXnYlPd9MZFsDNDcEi3O8smvBFKaPu48ca9GpAhJZxH3XO8NH8JTSVz38sO19ye3
iT8J3+DbMVQs4PhDrSD7aR02tgPPsoTdpc/qz7Dr3Yf1IYhJbJLh0BxyDM5pkdX7IOuyJmYnf+dl
9JAn6j981n9KGuCgh5sCfzPiDCorunp+wn7g8s1jASftktPiZCskyVVh8ljPPsW5r6LMTLm36yjv
RJyHznURdPnJxXvElakTG9hLlCPmDZLgbQCztuspIINh0Ls8XN8CyOsIlYJtydflxVRAV2hnENbu
pZcuc05RUSTrmJVLZj2ENd0GM+OaGD/M45VFh9VzYwskADIrCJahw4ciArJRNwe5+LAmQHO0js5m
GAs0V2WsGuGmSOTHdQ1RDBfxZV4ib28KiSHLK54KEEyuV1+PS+hgn9MwHvFBCyKDQK0jH/76Lf6j
hbTdQpFsxjOnt8cdeqC4ttPsh9t0tNI50nXeXZyplnscBBV+eSidRJQZawWsH1N8/uuX3BoIf7qf
/vE1f3o3yTIF3aSK/gJ2+pXlWEpGNAWtfQCMc7xuTQ48hqM1KjCwsaoebTfIrZ3XDg0WIWHnVoSf
HAHwc+rJR64wPBtzDYf1zsnXL6wwb/UsTGoao6++/+D/lfecv5T3dt23vvkTVW/7qh9uybgLQUJA
Z3TgOT4+Zr/ZHc4/oKlhenJQYfZLPvN3pxT/jTgabtc4Z77fyH91Shnu1ohsBuiDwewM9/XvqHrB
Bk388JHb7pXI4+P4AGyBYRFD7x8/5qquAJoPeXDJl/5UDGZqroeZWp6gjAE3sLQR4wrRoe+RrqiL
5bmNNv+vjRpdXg2yfF28/gGBApuWfaOg/I97BJBTtRYQWJyGIjVc8biN5Du8JRF7DROZJT0oYrC+
qIMD9FURrOH1fVOD0h5bV90NgS4flBIQ1lG9EuRA/BClKFAVc1HokMHCM5msq0nxavVQ3uZ5Kfht
WdngljVhX4KLzkFBAbAa2pTltdM8cqRadnkXoTGmX9x8QESqL8Xz6MOMyBBneVE0KoFSqfaArhhp
D9TprhF/OM0ju2cF1rQ8aJ6dtXocfXgVbam/0FDUMS9HZOPhGHeDzDCOvJcbBg4x8cJH+sKX5Xks
oQF5MzmTiaSkBt5YCLjIvtZuGtrZjfsGsJLrly8090LIPOqNFuwBvtANtHwsykR8xRN5H+vR/4aV
TGR9jT8KC4e7wFM6RiDLHGZ8/5hil3+zHrh1hb3QWaM5NQYCV12Fj6Aj6K5tgCU2iBjFi6SHEopY
M01diiPh6JXY2xgW0BgBACgrABgzit6STDn25Gl6l9OxTlavRCzCp4dWWTehoZqTyC70aDGXxGR0
vjptlIZjXyO+w/JMBf2+bqLPRdleoTT/qveiLVAJg8RbI/SAwSdCsHS35OQri9Zd5SxHnesL7CwI
G3mX6g5+BZZOLBW5/hha0sVczFCiSP1lLqMlnWzzCR/pIabRFBxQpKd2+HjdYQsesKm3l4FJEvtr
fos80h0rWgFh0b3PNdr7xgrpNGfpGJb4CUykLqHNtJ9GSXFHKobTgHdw6McdvGqxR6fRGnPHtNna
+Md6sjeLYS9uP1yiQTxKqFaJcPrnuijvt3hCqp1x7xZbiR6HDjeV3b0N8kdndu5WM+IScdFGYBGZ
gUslbOp2+e2I6jRb5eToLeRLZ0iZOr5We8tw3q9uVMFTB69QsB6tDY6fIo2xnloNZg2Bml0bsjnR
Y+Ml9VQNsfHnM1PuV3j+JzGGVYpHgl9zqVHm4ARXcMndvYNev9ii2M3FBZD6rkTXmJ53Nhpuos7/
NJHSSXCpT2j6qXlSjt5HbccV+dT2flx1MkCkWDcXPwi24FrTrsmgpic6r82B+Ph05oWeIYqIb5Wl
634Mgk9shkrv4h2eWiWSqqNHuBZeCpr6XE6Extw3CMXUvr+bjbwRBU85Ufd1NV2KEp/tuQxc2IUq
E3V0S4vG7Hg19PtZz15qusXGpuGPs4tqDKdzPnLqvzle9QVu9tHMnhMLNB9Bw6Lf/J489zKIkrqu
n2vMlRmNgGfYwd0LXr+21r9ipLUM7XgIhPgokVr4nSdDHSCF51hkR827NwOqoMzgKg90PDJzzcky
ZKtq92iOeO88+mrCyDtETrPEOgpu13FqYE6UYep3nONX9SDQlPZLbsEsOsEAI3OoEqSBqwOStxah
c1gCdem9ae4/DDX06RkZgR24sTlFDkimUoOHbYRzmUbdZop536YVfFnD+LWUdEqnvA0OSjVRMhEf
TCNyfHGN5qJ49ucvZMKV7Pa+d3DymV3EwgSmBbOkIaElqExzPze8P9kwGDIXSRUlmgXvk9gNhWdT
waRNrSz1dR3MR1vnb3WzLGlNfAzsQQABzcOnFcbMFx40QYwGwTVjTb6DGWAPvOnMsdX+TpVUpCVA
5F0YrjW2IrHuG2neupAhakX2xZzv8fCO8q4kyAJi1opiC78GcHINR4g0bcyZze84CiB3gXGPGJbO
KDwpdkMtw31vpiKdYfEn+WTtqRzHr8o4cgfC2jtR7cmE6RVNGkvRHMqmWZ/WucZ7M1uyY2EBSAcg
WlwgzxWzYUITFBRg1w1XdIwgI1NFpzxar4hYayS0dLfL1XqHYEmK0OBDSODNrL1BTGlcAblM9laP
5WNDV4sbolvttIcpfCxJh2z38IUb1NHU4Kv2Szgg5uKiLwZzOIzrqrwdBL1tgO+mqhXTXuv1yhvy
c155qTLr7YQOk8yTBhh+PnNE/bpLxOSXsKnfqz4HSxtE6FtCgwIaEtmp9UKbodVjgvALIsFx5md3
VJ9bRW6rTjyogrTwSxyeyc4Fue3rb9UafBS14+8Gz+/TTvj4loI26VzBGUKwMp5GccmjsYXN5Uzp
bLo8aXN1BdvDwWwvi2dTVqmY81dO4ZJTXLrIbX509fDKPIKFYbhobNGpP9RfckajDJFBhaBf9Yx6
QxG3QkwxJeRudZApIJW4dtEZE7etuqrQd5NsvgojEw4w1/22hP0hGPNziLY2+Fj2BCgDbVyKgN1o
XmrbXZYG8C+3iMl2UH7xhp5M716hKfMr0eHHvJAx5nN7RAz5kPfyW0imXT+2w75HxLHX+Ne5Jc+O
dJB/vqohcnVjcNS9Aq8h35GLQi4CdUKyC46jwJLPhrBIet6d1n7eVQhYonUOpRFS91fLis+zyCmK
xqj/zXNaKKwseBCywP8ZB/hUu2fRVW7sOy0YCFx2e0xub5jAjmIBf4ZJJ/YGflpZW8NnEDfchOAQ
5hfXwzfXCxTVXF6pmZd7rx6++EX0UgTIFOjaXJygvt2GGNfDDS+CjclKFy0/IfASJZ66eQaf0jsi
IdrcahGdgaFFKcjN+xEYahyAg0HpTr0fW7CjE4X/6s513HrwJVCEU+xEjkunWbGfex0sigmldcgr
TlmJuRMWoUDFj7dND90x8MrTbOVH6TKxK+YQZL3ct+u+R/6DwkqzDZyzc0jUY1lNUM99hM1hfO+l
nHRsAwwy3vruIebB5+I95OKMGtoOI4dT4s0yn9uWbgnIGVk97UzdFS6fx8KCexVD+Oxig134Fgjo
svDgFdWBtmjKHVSah56+a3hX2wSVgnzOBHZW8lJObesk6Pzsu5Na8CvDWJuncNq11UTsncW70zhM
kNTP2yIu1mAWiNmqUzsjb7FAC4od0u3XqBiBlZAdCaROG0XmnfDbFHbamOYT4jqhC+4jnLC42cJF
mFCiWKF5mH1U3/ae/4GqkRdfgB2sMXiRXAy7iEXHMvA/QwO6XQSi0mWgVVKKoUZ5Cq4QpeCjsk2D
JRYVq3UJOE85uLH1uKXh/dveO8zmSBOgMamES+z6caX9dBmCyzSIm2gMzhAborjp5Wc3sim6Qc9A
HzHdtPod9xaL2rYqUU341AuB/MrofFuRyt6v0uHoagwP/jTeGr4ChNyaD7BKIGdSzinPm6/dXCM6
VAJmcdp1Z9Ds6htUE8AYbIZgSljdIlpU5+cIKlZgGW52rO8P44QrWlK8IOvKRPlVH/fuhPFm5fGq
JdKfmHaRJnhTRiR+eaPgbUmGksYF5V0duimjcLqQvkHURQ83NZNf0WIK38a1yWzFpS2cC4vsrmqm
i09vOJqHEddMu44Up8lpXxB3Pw6leB2C4UnDSoQ14WQIHS48eFgK2H59fbGGvgkNqLEnOBnr4rja
YD3KsXrDD/hUCsJRthvkWQlg4QqnwpuPDMJLvU5F3Bp5tQDhSfsJJQK2Xq/nydLEcPeTnlDMJ9Xd
PDeflQ67ZMLiX1sYr6xF9LB8qdF58Yuu9N+FnmL//vci++Xb9PkrRJufpfntq35d6PH8CMymeBiM
T+F6/BwEhCyJrgPf91CTxCHf/LrQQ32nHP2uqGLa0tAu1vBfF/oI3w8EDwIMQA43XvpvSOze96aa
P2jfoKvRvIcDgDt4wU1v+FG2ykehPZYLewPX0bPBVjpt53gZoqcFilbsWPi5EW3O4Vrdo+bx3eoK
RRQEVv9cVh6KJHrEkIfo1KvoBl05bbIQ/h6V6roao+d1NU8YgD9GcHoQ1XGoRsFrpaExhwi5wUxF
FoDW5xYbaTLlUxSr1bvMjimTiiM7aOCo8YKvO6/loCJyk1CKrCDG6U+qCp4Lu76TPGwSUAWH2YxP
Sgy3XeRfUMOzbS3hA3orntp2KS75NOCM3W4IpL9yQ4mweTPt6qXF77ymMvRQ0zceQYDvACbk2ySw
a0rygntmEmEZwMhxqdDmsW77WhPgkswbKPYrGtOlMDsTVmGKRHqM4qyvbSRueoXBqBDGPqywJwUk
VQj1fbKahcdMerhrgjaGBUxkFhH2Wq+KZnzOg2wRTnVCtyUGkhkRL7LkeySqYKvPU1ohbpmiVScO
Z2SFPXd84BYD/dqx5w4Kh0oK0fkPEWKNAzoJMQYjlcT7fn1y5xlk0RRiB0sZsPMyq+QwYc6xheSA
pIvKT/MWkzX86HPIMcT3du9Uy/+wdyZLchvZtv2XN0cZegeGD4g+Ivs+J7BMMom+h6P7+ruculJR
t6qumQZv8Mw0k0SmyIzIgB8/e++1SYGP7lb22AuzmEyHbo+hWNmgRo7xZItGkXztryZzrgq9h3g1
rO+A3xJkPH5wkkg+AbN4T4uvLnJOrQ0J1rH74yLJhnUiA2VaHWoTt1OSAzshq37l64wp+WKdAfO9
LDZO2YZDqnSWj9Zw2ieWL/dxad8bBlTGZjpKc97PWRYdUieyUM2jQ8ViO4xb67zI3Ah8rRHHRQPH
i0HmWRs7DzeDtpt8k7EP82afcrBH03H1nTzQ68aFllht/FEDGA4tJk3Zb+hiva3MaGdJZ9dr2JS6
Tj6vRfFSOOYPBgu8Cln7qnv1pYryp0Ukb3HZ3fJgTsN5QIOv1te+q0r+98khmjMRFtx8qnk4leB0
QjNbX0essZXRfgxLuhWOefazdMON/43dxbCJ8EiQwucMKjq1S+qekp5DuZGQdnWRn3Nuks1qYJYQ
by0gDEZN96prxP2a2Hvdil4Aic17GIH42uQ715V7mC07YVQ3lu3czI3u8xlbzUvmoR21boUPFaCZ
hUmk+p5jRJIje6peXa9SdZ9SWVLSmrep62w8nWUDTtacP7t/XVUCFcvHR6kyqQ78tVDnQmzg9QnG
cXl0ledorgu8DJ14rAi3eq3+tnrJVUHo1TK1vaFSsD5xWBZwh9LHfeSK9sjtkx/A6LHISAaRM/py
kOn4QBmP/Bi/CpW2JaR5PaTuHVnA7/6KLSrTpts6YvNT9oYdRshEBGBxZxUqyeupTK+Tz8Xtkvv3
ec5zJVHJ32hM9C3j0rSrXP9zJh4MVOk2wv0WRsgaG+6TZIiX1t92mXNuvN6+BWWwZ1oichyNbfbQ
VAZ3dIZWWHBPa11frDX+NCqDkIZcIEn42nbIzWsWaZkCxPdgYjw8Wzml4Q0GQymSfNPlTRGUAxfw
BgJUwBps4FlUdGFkd5fVEOfBNNjSGMckGe67eBzBLllHd7WvZ6md65LvMs3bDVtOcqCrZm8WQG9Z
UsrQE/ZvWv7fR76ONvefj/z/W358r7t/PfLVV/165CuTg+Nx5nuOytb/scMHC2DS64qorU51RKLf
T3zY7MqtSyIBGfo3Lf73E99DVRcOLZL2bwBd8ZeO/J+gvz8f+cBgdAB2VOQIBMn/oRrVjbPmLET6
G72wHhFsH8zeOZd2f5fPTRZMo52cYj2YSsM+ZMuSbco8j3bR6E7hMMso0NsGEW3h7MO1da/b6xom
jVq42QNNBatxN+gtRi6f/1clanXYNMbRjzuTYHzx0Ikqw6BX40+r5yut1fESVVkTTituSW3moyYG
kW2L0dSCbpi4iFbloyAIdSXGtbpgHxqC2mUoiaM+3pqF2Ns9TixvrKfQTRJI7V31mFQeKSaNOUPv
+mPbOMiTQ7zlWAbva5dfkN6eoWRpQWE6h9rSHrCwG0HU9lerAuKsTvyJpJKRopcQc2vI4t0xMy5G
bH0fk4/OCgc/PtR1xOJolFDvVpnxiuTFpipmbqVr32ybJfsgJEl+cui+y2HCo8WW09f5hrD9HfvO
u13URnCpttp6kYNxmm3v3cncY61nduAvjr7xBXyFuLtNS5LK9ujBu5yNG6TtAnVDbgmx8pZYmA+H
OO6PorMpl4jKezOe7DtfS75xD73DRQf6prCIRxuJsTPb2gx6MRo7y+3ktonqAUGD1EaUT0bQ6d7F
TBMOafRKrk1MRtX9nPdZoK/S2LYWsD6vx37p+lDUUEPbbdziDYsH3Qojg/WBVmesY5o9GzRGQvFo
++uHocXVvlw4KfRhm42Jz0IU/x/bLXYIdnPg7muG7tCeLIPvZe1agqRlFuaRUem3jT1UD7Tp8Ad3
fdDAAFjt7lsKnOJojtotP+Affs1J3mVxdUpy45VZ6KqD/rXRPBuc5WR9zZP8GsWy7PqBe33be9EB
INdnyUeUHZHJ5ZBs3C6d5INjxv259PTTmGVvzeqf1xbMvVMn+xpJpl0Wuj10T2e5iWJf5xFRj76/
HrKVj8/4mMTRZ5sI71BZINAyrXxAV0pYLsiX1hLHvAWS7zn4B5eaIRZI8M7rq6MbO09doiencajc
IM/WB/6f04WgzQgRqa63AxIu+1voV2MHxszw1Zs3Wywe3MjdGJH90tcZt7wVfECPD/nUm2AHZo1c
S7KkjA59MYTrTA421qP4UCVJd5uh8QUTpP+5WoydJ8tnNol4mocE4FCGymQif0AKqnCcZhL4UZ7y
aR/MI0NTEtSZm2w6Ux711dOPrZcchREVe5e/C1OEtQQ8FofAA5pDZGXlrorZY2gPGffZrIY3n2UD
LvZCM/ikYZYGjjUHi50InCPI+LYB3ox/0GznNoOQXffjkzFnZ6eTrCYxINjdwygYWNa+3CdaBIqj
jNagyo3rcZZPqeKTFEtyW9ryLo+nZy+fr/qSQQwHY5ADZw3KOnsGYHiyZ/2w9P3j4Lk6rsgKS3vN
js0v5kvet1uhd/WuXLweIX++ijrrLq+WYjtPxlaYzcmUsmLRLH/YTvSexsYNlMhroJa30LRpJhr7
zyhyWITm62uRsE9As/C2ELze+1JA9llYzg0mKP7EPs+4lrcjoxBtMKrtwFLFB6ntVtbe9xxzm9Tw
9xxCC3/L8Ny1sdlwrv7nI/zykX/96wGuvuaPA5xMsq2T9aMSBQe5xdn+xwFu/QPIAKVfFrRJ0sf8
0u8nOHd27uN/NLKow/2fJzgYJgcCAMgdS8Vu/tIJrlI/fxbhsZm4PvQgojpkfBQ1/9dLO2FC4utt
5dzkYxGftbhso4d5zonBwhbP9xP7BlaftsImOjioiuJod6h+jtScQx4BBy0Xs6SOTPfZeVHQspvl
kgU2cMPAYqfsOZzRU5Z2Qc5DVfO54f28982FvoOL5vCcyHf+6jGNjz07SAT8iGgHSbkkpvlqOmdV
sdO8kQIVDN73w9jzrJ7d92L2K/zjiU9gJtsXwNZWq9lPZnzfGpXc6C538d4E116V3WEArOv3/hd6
/l1qeTdr6x1Nj+23p+21un/VYq85V7iI28Q/kr1Jj4Y/vSrHvaclD6XpPMFynAPLY5C2c6t5MPr4
DdXiaHnNNtMjMgjFh0yU5WjEAZUPI/i4hAtFymMCgiDcfG5S4Db9cwuUPsg7k2Rhcd2ybmW/HV+1
JaVLyXAzrNWPgRcavammqoquiyVqTqXIBciQ4eCAc6X/ilUjfjV/rUAfsq8VjQX/USynNdJevS65
WyY7IiuQHWVccUiJft36C49aT8mCRoS/AjOTObVvOSiHvEaCcaxu3cULwMC4Sb71gJrDpTGcTWUs
e1dLT0WMF4pD7rpqbHMzDeDrqDmjpiuxt1b3Q7qLfnBz199GccteE2AQu/cf2tyzDvV92nAk3QMp
WdVRtI9e5+FJ8ItD7nR3BWg8fwTFao/4xYcGgm9Me8isx8v7Uq0nL7a/C+JfHPaZHwJ9e6O67oQv
4p0gxl3raY9jZ7xNDVIZlX4/RGkjS0+Yz5qesIVYDjkec4Qlowd3MaHYYDgn5USWool3mSm/LUk3
BTiyd2LMvwEP5NezDnXNTN3+cwSnfJkdh6BiqTKLA2XcxQaom73n+8cj8DPeGDkpUcex7BaB+i9w
C5Q8DTYM7xUmOJguHMW84mAnc7LqA052Cml8DcGIEAuBC/wsRFZG/Wblw3C3eJnY55o33TU2JtV5
Mk+WlVkhkgqJDL5mTRvthi2KFYhZrwH6jcwOTksaIDdocrGtdD6WQmPV1NbpyfPmFTiIM22RtoZg
SVD/dXyjE/qXp8c3SJY1h6xxZUmS6eR47kghx5u+yK5bFz+cabxMnrM8dID23ipDOfNbTmPLoMgs
6pqtB/w/6FwrR0WIg9GGFDxXjcVSic8ssUF+bkxfIz1HbsaYgJwjtZPCAWsutOWKIhrwnZUZSMDU
gWRVF5hp/9lJbvG4PyADdMfKJccDCPmkeZZzMmIWZHXDYIHI072bwE+II3nTFjwBa5eUzUWVCBTA
smt24Lwxjwyr/q01zFdgqDhRe37v1E3evlpnnkp54ezrkpO81zIdsAjhNcNU72/EfX61o3PrJ3uQ
ndcpnyiuFvKU0SWTTHzXuubsjLg+g/3cpyXVdbWPMpCt3RXNJl44I4zwzJC8QyvKdJ/vMC0tu7Iq
4XulNNMoOwAWirMXS3C1jb5PnfwN4Wgvtf6B9ckYFEXHUmHCyAmqqJcdcW5ZUlIhun3UNAdX9j9i
C9Kvw+GxaTQuDUaOV/DKm8vHss+Ki5+MLJ1Ik9R26m/LGrdrTMefkw0vi1vtJrs5y8j7msHBBkVd
nnD3ztvYmPfALX4zNf59yddZqP/nCYF42vBvRgT1RX+MCFzk2diTQNVx0LOr/2VEoBJBXa0xhIr/
3vj/94igyuNJ0RMY/2cTzu8jgv8PxeUHQ4KpTpDA/Us+PZx//zIisEOAicTfDnkBePufR4SxmXuA
x4l108+2zvg/HqfFbjc8Cyw++S2qKAiwDhaY+AkFi+1vneVdBoULcxQ4LJuBZgwdpr2pJswKXYyP
Whd4ayM3M+SxuVO1XwpGVtfyc/GrtwRK2VIW97md7SvoZaZl3rcNW4CsJQHnN5i/O1hn+PYYIKCf
oRjUYeGXA3vmiI1Z9uLgiuBGts6hO5c3DhQ1Y3K3PmQEAV0td1bruGL1CmVuElKEwcaqDeM3TLYm
uZdT7JxI8u6R6T49Hrk+FLcZDkuQm6UZED/MMdOU1UYhzUAfyhAb1/MEDy5XYLgkTw6mQsU1PeAA
/DRYzLmRwSmzrvOyPRUKMTd13Y92TOAgKPzcCodOPbHCKW5vMIY1p7lkMELVJ1tZkuTKFcrO1+OI
4iqFt/Ml2mNrrz+oLc2vR1t8W1Ne3CYqkztkFz1IYOUlkEuuMmRmx9e4JiigXqLQej39Y1shJt41
mUAdoB0zzEuSrFx8E+pjDXefjnMcuB38VnuGtafHlrFHSYyDlhmQNYsVE7ojR5WWVrzVlyI7WNZM
lWSaKgybKhJYweK7M9haLkLsLOkwM+ZFhzLf08ZGrGpnT1aBl3LAk19brLKt7AJ95bwO2U1eGcdh
iVee4t4Psswu6b3S3mp9am0W5sutEYllT+dLsdWzxOOFMBZwL62/HzIqZDIAVHvf7PG4xB3NAGCX
7yt8OXup2Fj4RrKDrkfRZgRuh7vb0u5wotpQFPlO0VWwTSBw7byY9X22TF4Az7DZasCcOS7y9IQk
PO1jM3lczP5WSr3aJppHX9nQfNYFZUxp4hJka3371Phc1pB5KcBY1UuEkeV96p3sqYJcHfSJXx0W
SduHyYEYYB4xbhxajYKkWSlI5XVnxa3JgzeBmkiwUMHXlul34hOoCRnK0RiX2kEfsp10CgXN4B4O
wzYo/YrwJiHogLUFQY5s8jZdUxahO2bu3WqAl5vlvTuV+ZYR2cAVZxbXsO8ZMPP2x1CtnwOH925o
DBkUftFdpaBuQ0Lwm6Jr3aO7TNHF1cS496LKvjc1+Qz3Y9A2+iARmRJzpgQ0lc23ib+VWDV4FUlW
BL2XtHstXR4NbTJ2M91LoT76p6oklDpNCyILiItC9nTk0pYA6j2GA1lpJ+Lxh9SynkbFrABv9FgC
sRBZdTuJPtQ0cdU77xGoC1m74yuLs68JCAaFcRqOUrgYcCyni/zJylDUjFTxM+Jcv5j8aQlG4nHE
5AAWPDTW4gqnpBGMvnheFY0jzVaP7Gj5vRdUPUCCPxI6u6MH50KFFDUEiupRKb5HnqIjzWNC9xSW
h2BUHJCO314pMojoLWe3KFoIedQbqcUPBYlnHZxIo7gink7YUoAaSUGOzLnrslqEQjL2dYzxzqDi
CEFRkUpGxSwRil5SgDFhinmRLos9odm3/kw5cK14J57j8DsVA0UqGkoDFkVm+gGCMLM3OZxMRepT
H6EoUzQVbfY3w4zVXHFWnDEFQGi6b5A7Smdbg2OhlPpbDZ6lks4rrBjnmJb0u3brJ3UHQP3r+cA3
XewSRXkhwrspXHGdgH9JFAfGBAiT+zRzjbVx0Fr3sBAnzhQ7RkunO9qyL4XZs+sDLzN4/kGAmzHA
zmh2iw0vwfZshgSh+XfnI/Eo8uxT+aNPBRCTadiSRj4OpLwRO4pQs/M7AOwaZwGGbQtEwFDclUyd
dBQ+FjTKJG6FUauoNrJMH4t0CKXpQqKJeoGbge5gCiZSjJA66JbeN8mX61+RamvmHKO4uffM3mNz
mhdh7Fb3OqP/9u/tyc/tiUPM5D/PRo+SLq6y+jfjkfq638cj4oPMOQZKB6sSpXX8Mh7p/yBhahAS
NOli99Vy4/cNivcPm5s1Ww3T9fktv25QBElFbshElwzGJ650f2WDQtrpT+ORp8JPGC8s14AEhfni
5/j0S1rHGB0CAXVZ3qxOwt4ZC91IBRIrlM0KAXY3Oq5Nkqm4ImlHc4RlH3Q+1ilGoERqR+qcN/5k
3lWAFqRlnKa++cil/Rb1yuIEUX01LrFvH9aEH9gch3CYkBXsl+JujKJ8C0zug8yGi+sIm1VUyCZc
jamg1p26twJ0OqvToXqpreQs8TdeoN7fegl3BL+Gd7sKLQQF/olbc2dFBgzi+gZCD3xDP3udDO5T
deXeIPZTKyVzNp7GlN5It/7u1uzmnTlhcMFMG6ZjbhydhZlvEEcrKh+tZf5a7PWqt/3PIuofp4UE
Y1bE+9qVZ5fhK6hH98apxangOY8n2XmySAiv9fA+Je6uVwsBLpxtMPneLZPhuSjrm2zKr7OJqmvN
oH6GCDo9QOguRqe9+IxOQU3Zt+5kF8rL0emb5WyhiB4rpyCJgAd2l6A07Gi2e6eg5NYZ5cWWWPWb
9g4z5K7MCYcIClwdfyet+R5UFWEFGm6szviwDO5chfbKE/TFtVlcSfbj/jg5VHOXn+kinxoNT3m5
ImGzXr5eRl66Npd3+hzNRDvc8rm1OTd7T8UDOOqtVuAv171dNEWc1w562CLHh4TJhn+mVtjti83Q
Vs+Sv0bUchzmqYZuM+H0TnVeG88Ia305tyPvA3UuIsh0/Pb1QjhtITKaevV5mqLvdsvMDOPy0a7d
e80UVkjF7sUvQZlIR4DIaDDl0qV1rznRkUuhfXFqUg9zmz1ytrMfwKISlXdlkn/Pqu459nnOw1ac
4ITl7oEyLHIY2GaCCGNMKExzZ9lYV+j9Cgs8I7smlZuVjm9Ewr1uj4fcZOKjS2vZmr384qxqNrar
rPOiea3rcusbTXFJHF5txTsM43ql7HU2+sDqoU5pys+5csIGruE3V+jzYEJyUhWSPksdHGedIgOk
M20xpawYXTqwAPVcXAywzxAhXlNXXBzbua/GGupZ6pMWMdaVpAhDUhV1086nnghjqfneVO2DN/LG
O+wjF2clzRt9j0aNPdvo3PuNxxUhIvzCnGVE0VGwrgkcfuiB33i7efWKkFYlm2BMjs7EsoF7SzeG
2rp8xNbah07P1qfgFQ2ALZ4G4jlgTLe0eTQYsEsskC67gNUst0t+D0LESBBDxnj9AID6MYzuIwGJ
x7ygFHj2buEeE+yIVzucTKI0Vqo9Q/EAHwniAljsLllG95SmLQUpoB1423H8VRp0sahcTiyYQBE1
dsAAZG1Mzf4y5x4LjnY16wN8cQ9JkYXjR72mh6UZnBDzFGKRoJxhmRhylg46JNUXD3jy67DtSTMQ
BvVD3Gv8fUYO3EnyE8h//2EWhCUWR/Va4ifFl6vdtzg3+5IfCdst01MtxFPTtdd9wYaU9NlX0+g3
Ar9qn2F10szC3jLDmzvXwFCvr90lMuAmVTbvNq/4ua34pllbjyHFN2827cy7WuMZzOaW3dzYYTJd
4kOEr/VQG9iA3LTe+zwa7TzdtZBawiSxr0BK3vQFg7MjdG+zpNbDlJUTQKH6tu31fdbZj83Ks7I2
Hoy4NcN69WAk1eIjjpsTBMmTyTe3mVKMqI4unzR3NcIIWxfCNZifzuGHOu+jt9Fd37qhvSfoER/i
QjuwzqJqkwdcYA/yofGwR3fUXkpLAy6lwHoTXuoAP9Bn1hU8KhqGT1qlunUft0kZmHb/uETTc24O
L12r9OpcviCX6gfDnIyNrpvJee2zkdLkxCFKQt13HUOAgFx77PrsoXItLneyRrlll5rPyp+TUUDj
A5Hycy68GJr8znwe3bupZ838OqVnO7HuSE4EABef0SefUphLrlENe7eqr82m7lHljB40oPtl8KDf
GrN/S78SH21biw4ULMJ+oyNnW4gUgqdNJtefLn1T3I++iaZa8PhNl+26GA+kS85Jzb4tjeWLGFAX
9HY4tcP16C7B4EjCVQKez2KlmwLH3N5sO4IWXYpjad2zQcsuFR5D4Fbdlb8IbQfphrjWMOMdoIIY
A43Hu0Xsm+aVExt2DQe9l7CsrGO/pdLcMrkC119k7pKrqaIHt4l5YouXDDL4nkpvBvuhXZdrI8HC
nuChRb4nPhZ7wzZNySbw/DpFw+rfGFZX3+irxrwJXeY4iuS66BLP+5D2suzXeTZ5HoMr5PDIdj6R
+tIxrszGOfI0OrkRPzp4RNizwNnROtt6pvWAJ8QIRJBw0SFp7Wvb7pUoq39ZCwPsgvNgQW9fKMRe
dG1TegBMcp1vnb9jbxn1Bu/StznFLMW2hLw+zPqBFicqxdxXoCgj8Fc8W1ObbCGX19BV1p07ajBq
hXuOebGbz0E/GXZ0n0fioGmTeZ124sZq5ihMZWnQJac/8fJzihvFVzNnJ4rexK5p57uud/cZJSob
9lfYI2c9B52lq155Ns5GO71W3EqY/h8UpsYtnKfSb28XqLmBu+ZHzOm7Li1uRz4nQV/PO/wQj6K2
v/FwvR38qQoB/2dh6rb3htbteMAZ6FhAH3yDckcSQOoadajcwQSyU94IH9hmHiWSEvR82XYz3hOe
+8UmwUPOgouY/VxgL3BxyqW1+bFSux6wEd6LFKoRm7NrhtxXFJ7LLAoR1qW2NWiBdyaP6oVsN07m
PUaCM5/cgzCVOjwlTw2+jjBLiyvUq0cv5/oRDVgr6henMV6nCJQYiK2X3pyv6hlf+pT6ONA13Hm+
Ez/D2q1CA7z8mp46u7ua43jXTGa+kanHahkirqu5T7IZr9aZrGGVfhY2tskc6lpvLZdx9uSBjp8B
96B7VRq4Xt2SB6GW7MkTuJvWsQ95bV4mfT1L6qTD2IFW5K7uSzaV5a0V6esmHjwN6lFnbsaEiOIo
fVZXoFqIclYUTlNMugUzcejhImw6PfsUEzOMN8tb0fQI0XSA7mO/7y9l2y1ha03nIlNXWFZuOWHE
vV9OGTNnNPDhcgpvtR/dQTu5qSj3blIf0U6shtCAxWII+qn7twX9//zGeTH/V4LubfHx7evf+NHU
V/1+GftpQTdh07osFyyuFr9cxgBzQz6xLaRskBBKSf79MgYnF7HaRi3zHRtSLl/1+64arxpcFsC6
psk9jn32X7mMIaP86TJGplwIOC9gXmDymmC91S77l8sYAjISlC2mm2Ee85Bg7ks9LveCdqpt4cc3
pdFm38jlVEG6WI/WQCRvtLTowRPTD7KnO9N17GC16I2jxHGrV4UXlIItY9pFn12cGzyT2NmMsrq3
fa4zul9H+2mMrrySWQfr2qe00gd3XF+ScqDerhgYjxo7nGtaMHPRkGjuoWiJhEHNr3Z0cj/wZyGo
smnrJkkpmGQRlnkyC6PVvYLA+mS7QKyqPP6e9d4VULg7UFk3CappLXgcYIi9MxNd39meRWjWHm9n
U9RbzzLdQJhsdEtaM/CtBtjnQ6uV2VG3ef5NJEWYKssdOnNP0HLwtnJprK2VR3T3FIzSVukfosZ+
7PwBVd5nFLG2kpRW0HZOGqblcqSYwgbOzfY11tdnx//OrQInDwaZvjyJcXiVOun0JmOngiQ5BnLB
b++O8CKcefki13IcDbETFpcXX0+eY6PkIsjpS11OG9joXuBaDpkpbsDqAliBS1d3z7XmfEq5nEWd
UwewblxQkCTqjpQH3pkL8Va053uPVyhK2Z5qdUdtY3Hd2f69m+qf+bzqSMs+tl0d4JwvpqfStN8y
D1hxIzDAjRXgCsmFg43a2ci8R62weDqu+nM6ssKkNO+8WtFTM3fXDS7ZuMt90sbFF8/O93nUHhtL
XuZkvocHutNd7RUA4DemKKRYZ8EE0MQiWIva4/rT/sBF9qBL4nm0N1zxNl2mTBApxj5n/zAaIMgm
384k110jAOGYdvpQJ9nBzbw60GNB2olQVlfV7xasZKvsF8pR5g9bEq/ih5wrr5LRcShdjLHg6rK+
+J1F4tqs91ARTij2h9odvhPTJSOZWI9OH+/jNNUCTPm3hj4NgZGPs+I6cgRqODe1RLIIx/AQ4PR4
zgZepJXQAYFKRGq7NO8Ht9lCLWHUKClL6OGLnqijiK9RQtBO3lBdLD5zb+VAyJJmz0NC61+wDvZT
DRcQz0LnH6NcTaain/f2CBBUl5MdytbItotMsCNrzQ8nmwb/Qt56wCqdRNmyHUpSqU/jz4yCw9FG
eiCGP/JQRRaOfy1mTrKzGkKCfNB9Z8UsZSNQ28QfVA7CyzKkaX9PsSUuMWAYm2HqilPKalahhIxt
M1lv9ehkEIf4uBUJP9LVxICQMJ+kyG8wWYjHe/784DVcU+okuZmT9buprsFt7G24ee10Fvcyh7y6
AoDYVkyXG9XnWghxPdvUWpEMWXXvJSUpkniETQeyI+4wHFOyJB3Ei4JsSZHKHWFPFi6kTuqmB61E
DsVOqvi6IJmS23RZLGg0qA7XfUZugAyLT5als+wqjKPps3ftZxxpr6UuUIjJv2TqntOyW9ixcXgG
pGOzQUFcpjjselIBGkhOLHCT4qKTreG/so5NM/wkAAIbFcAxW23bWfkPSqWfmkw8N216VXT2J7E4
Qr2lIMjmn1yJKmW3CYYAYijBMsRaqEfGJ7W29x5ZIN48QkEZF/0hF0/liJdhLaxBTU+MnYArXeU9
J3K0Bhl29Hrgw7Tw0RMY1fsEE2GMTI40f59hZZemcQLve47kcMmV1x1VdWBUc6EIjSX2ibQsAik8
0r9sq4GeDl+auiPXfpvtBunjU6SkFvSqhoMOp72J5X6Now9tKS8JVnxNefJRsYiy49JfVFEY6dVD
o6rDSMXlG0GbGBonYHCmWSbB6in1uLw0zbd0JQ8Vw8R6nGkl0yrzSSiwRdTwbhQiQten2Myjy0yn
0wz+V7SJXMm9kNOhGWi4miAwlgU/a30pJwIIYAq7U6cbC779Iq64Qvv9ro+G3n83y374f9Tg9/8f
RFv/X8l3VEnL/oPpB0fOsPyTna2+6o+JyFAYbJ3eLlPQG6B20H8Y/EwKgBzdEw7W+J/NIr9MRDZt
QlQGUTdEbk8NS/+ciHyV7hNMVz/t+39pIjIFxoL/YfCDyEetwU/IHhht9eu/TESwsmJqWiP7Jl8b
wbHt1qX1OSZk+m+oALXKEjVeMw9epIQUmTwsdsw+iFDZBgC9zn6L8ZpG9nwr/cHe9A6ZGh1y/Mab
LeTzsf7gmh2zj00/1rYHyGAlxPZ7l5UtmA8KfW6zlt7LGHtMU/bssTy6N72F3UTqI/vn0oiop87J
YWklme1uUPeu4SyrxifJlb6Mhotnr9q7RdlxmaaKa91j8pmCUS91jFX13RpPz7VbH3tll0qLmrlr
YL/m0wbKbnP98LPuznU5cSRSI5sN89bUh+IKcG69o3C34p5R1FA22h9WFH/ITA5hqYntsHxNswkG
x+FKrlnxpiirq9m0X5oqxrvtTc3B7mk476ypCfOGKc2qWQOuVBiExjifrTXNtma3fkkv2sl6POMp
3BuCWHVT73sL7C6V3MivI1InJ1U3Wl8D2lMOQYiBCP6pdanQplZngk0X429LeIKM6FeeErKKojmU
KFtznT0WKF0DB2LT6ecEBYxSB3pinfJu5C2VSiTT57Sr9gMH3M5zm5PhlJ8E3PDxi+iCCHuh36wK
7Z+VEoyO3Z0xI9C/c2MFSN7/LKDQ1mFp9qWBKBbrMPppVMEp5+KZM/HOzcpEl+Km8/tkJ0wfDrMy
2qU47pDmsd4pE145zodhSa7tKvK22jQvuxbH3qQhbGTe8oa+8zis850xGu+WahPE68fU5Yeusv8J
fICpOZ8mZQwsElyGtOuAAWc885Ra4OiYwp3ujkrbg1AGQ0Jxj4uyHFKDQ8Ij9m6gTLG7SFZM1s5G
JgOKZ45lcVDmRaATRlbbFDQPz6OyN5bK6FjgeMyV9dHBA9nRHDsrU2Sn7JFanXyLObxCzol150EZ
xioQ702tf4OYyIoRm2WlDJfgXIJGWTAHZcY0aKKdlT3T6zSaI7XXjhWKqwycGU5OJ0piurYxd/b0
agHThErQHQA5CDIN9YksOmFImsClsojCQv/R4xlt8I6OPYp8ges+X7JrJLRzo2ymLn7TitrywFQW
1AwvaqdMqQQ2p307U0k7KMuqiXe1yr23lXsDZPSjjrfVUibXVePc1BKMr0Rbnmh7eJgJ0kDPfW2V
RbbBK7vO7TlS5tkIF62L+E/W+EFz3WOCy1bz+7tEd78ae70uceHiNJXhqoy5jbLosgy6/y/2zmM5
cizbsr/S9uZIw8WFbLM3cYcruqJWExgZQUJrja/vhciMTDJSlEX1NGtYVQxXAO4Re6/dMQcgzGPr
t+GmmsW88Szr5e4xn2uUvoRjtNfeN/EvKmAEKnuzgT7y7+712+5VEBD397tXnnaoUb42fz7c5r/7
/XCTv+iqqc7H0a9r1A+Hm/4LWTmI15kDzKcLbu/v0rQ5oYsjD3HnfLJ93L2iWlNZyerYz0z1V/Dc
T1jOP29eDVVnK8EWd07fI9SJo/Tz0da0KAqs3OgvW/XCj7gBr/N68+FLufzVyvZ/0Bpc5mHW1P/7
P0j1P52ffAqNoYIKiRHLrIm+l/Xzx/OTCaKMorguLmXvRGqNErVG/hVILZOXgcpkzy1zc4ivpjw0
7VMQBNYjCTJafGWrBttaNR20C80sljWZ6mVAYrOXrEwZrqZQQFya5HIck0vPUBheK7uxdpBK5DeN
ypR5DGgZSut6COstEVcoQVMC4cNGuIZeXpDsfFbs+DUZYXIjZmqLYoeo45GECngpYXD2m3pla8nO
CsAyiqF6r1qLBO6wdxMSbThEyV5XUoaCJIJvy44zqLVQk9vbUtZIILJH31R3JHEzqxDFRTlkb0lN
N+jRKBRj+uZB+Ga7XOChUwckWHW15lF7YGbXuyhzaV0YSfLoU18HoPBSx70u9Oy2E/6Fp2l31YAu
Wgubhzgd62Uw9l/oUC5GvcrWZVQcs2DoXae0pGuEnrH08uqmClmYWTouM3+UR/pbgOm1vEp6jpup
ax+VSK6nnohyQ7OQPmnNO+YZVB2hlkOtzC+zXN9bPaEUhQ5QPYlLumkVlVvRoLcZopZ9V6HxiO5s
1jDF9CAwN0h+zkXeKtdGz3op1ZLbPnWYwtrxk0K+xULrix1R89EpaXpBEGt8gbWbFlmgSha2f/Cb
LxINgNOyJE97bakPJQicJHvwJoSCXkkwRO6Li8qGHNt0dPWW8aUImdv0Y7VvLf2LXacBJPzw3U6Z
A/u6Pbll49z6pfmuh2RNlOFbWLKQFXW0DTRsdoIo2dxPLzutfhVRpC4rHe6ejLNdEsYMALpmTU8S
IDbAHKHXTb/SFdVh3Nxeto5y1/ktqqqk4QkeVDMc8MYfGvouiwRlWupVQk4kujMLED+/n2NHNxpn
Cyl07Guc7iFWJ9Rzo/kesWc3RJyjW9MkHrPYI9sNlEOW0pb5UVgsea7c+cS504sXuO0k6S6EIgd5
0HOxDs/MW7h6QDGs7J7vw7Kmp9j0bs0ObVMXZW86es51V6l3sZ8AgkFCPihz/JzfAAhT3hvFfkKU
p0NFDpaWFGAfB49gdARpJmjkRo7xrtC4+mfYcOnRacEEnBxR3hp+z5TAjLnKiZy9i5mC7owJTLop
+9uy1MgoKt5S3Hbh7LBO8uKraEpU51DAVi2Y/nXcU75WYfSg6w2KKC9hoXSPE2DYjCz4DylGzlBR
rqs2cuYkKuj+rpdSC3aEUyvWwMDcKfJlnYD+h5m19PG1DLk8Ut0Saw2jTEH3VnBvLmRQnOrcemRo
8BaqQ7ngccfojF1XmhSIWlFA2PqLMrT7vgkvUqN98lvGPTxzrqtMrKJCXOdsAHuhXKNPc03FvydY
46nG6JMLde/0bNUsvKUsvqa6WaNuWGIp+9p2c9aIFblx3cQrZFfLGJOuVVe48cCoVUV3sqglqhKZ
iZwmFwxlv8gd/JIRSwNPUc5jU92nLFuYcdVvNUZBrRwelPrNaLkSO9NaSx2959KjeCFsweup4qJ2
VJSV2o3WveV3w6YsCf6NfHZmhl00xSmWjDZyXbkZJtx2XearLNh5bi3iXC/I+EBzsmnGvFraLByJ
403v47Je4wp+7Pvkvi6VJ8ZW8gpq93TJgVeuq6R8KTXs8ZX8Onj2eV7xkb/sz4o/lhIIStyw7Oyl
EiXhOp1S55Y04PHop8FN6Puv4ByVZR+TqVFB4qH1aVC6ZYD89CZ4yoAUKH1wG4bwOBypXLRd/dhi
boHjxhrVUxCRFrw/lIScPUsn5hnQKonp1m0xnRV2L7dmBBNvHJ1+zgCCU1Tp9YPn1C1cMwvBRdba
bpk0yCu6btuJpmcvj75apvm46UlCIA2M/gq7CfyQJDSId3HElqyzSyNurmvCU6D/bKJOJ8BM8bDI
oiyYTHFLFNtjJYYb36jMnaO3jyxtcY/4k/cfINczKuYPX/m3Q5e8J/yIRN7SPs/Jfx8PXXJVCs3W
yvYyx61hijOjWJN3zVKdIffDPx/xn6uI+bWY65kCZZZEaI/O7PNr1WwQG62v+0sbFkt8X47rQLn/
/3uJ+S186MFpn5Okb5P+suDGxKtNts2zXtz8Fy+Cpg3Ij0mNNSvePr5IHcTxEGV9fymr2zI/DAoO
0t0/v8Sffxa+qg8v8YMToEFC5gt96C91gDjlekpp6vtzZr1E4394pc97nN9+lA+vNL+TD98YGhAj
NRs+TMniX2SwQLWLFp9ht+rSiymdFv/8weY3/vl6E8SYzQsjFW8OyOTPLwdIY5iqRvSISx8Fs1sL
kU2wH9PHby/zrwdG5wv7+17jpnnJwhoLZP3nbmP+y9+7DZU8TRNrEff9DK7grv99lDYvF01knjYN
x7ekze/dhrSxyFCbY4RBYYaZlQHX91Ga9ct8T5tzrgqAk9lZ8xPdBhfCp6uE5SJ+NZW3wNSObDt9
Zm1/vChJvpFxNST5uR3NeDpGiDOik0B7RkHRpMmlxYnA8CgxTkZRXraBDQcx6FeVllL2Ai1KRXoo
teopGfOLpM6uQ4IQGoXyVEasEA3jCEeRkHsLd4GEJApp8xCo/cNEufMtVjKnqGMkb+Ywhae1SDnM
g4mJNoUVC6J2IZMmOjbtnANp4y+TXSZeNXY0Q4ecYd37CCbAvkICRadkNng/hcLyngEQI7702zad
uCU262ZX7Kx52V5aTPC/7d/lt128920v7zh+oB+qKKyfot5DVN3JVFt3bRch22+jvVVnZoQdh3EF
pgw6G6e2q2gbZ2A3VmXlq+UKySOkjaQfXlszDZgvZg9WYbSE8fQbu3OqTRGaLxAlQHj06EUiO+nX
ss2PoafCOkI+AwAkXJWTh9HFkavc6+401btXqmnXWMp1R/WQdf1Oh+jI0uQw9MbZmeVCdmEuq0S7
HuvwpVDyfdJaCsaN9thaGe5HpdjaASq8yhHXHepcNL+rzCtP9pwAho0nVfqtCJuL3ky3BP2hzM1O
qTac2rx6Vcf62gnAOkbmXex0UJ0twhj8sxlgbCbA4CYpJuIuZ92MuumN+rpqIH0NPaxm/SG1SLtz
4E/Y9UUS9UB2UqmtIuc9E+yuEvMk+3bV5/aGxgQXbH30wvoSeesTyxbX4rBHFLvKUBRNeXq2RxxL
iBazWt/Wg/Yw9fkRbiZbuuyEloKdLFLHIDhF4I5qCZkCgwIutovIAGVoqs+aEa3tsDkWsnn1czta
zTIM36LCqQRtjNjY5sBaERRg66inFngv0pxTZWpX5cgSdVLujEDukmj+hRGVEVq4q4W9sEObYq58
c3TCSLPkwYqCu1wNrgmiW3uFcZC6vWYnclKjjkXxKA69TgAcbwJmqMA0Kw6sMS8QgS6xSh98S6yV
cNj3Q7AjIhsh2li9VZaGfmy4riAywYLujCvLICvR7IMTE/DjaGjpuUrUaIeWH4o0neFcIsLqZSdd
nlXTYLXIJdU6+i4hyIAqqC/cona+jv5wUgfap1QeKPSvhpJQ+qGg3yCo0JVl+dxEI5efNN2iALRW
duNakd7zVCHxcYZgbaftLaPdlVQkOmqd1lxDVMmSlaGgTHVrqQTVMONcwZ8H4ujp+rVeEQ0H3piy
euAXZxR6GRXKpgacXUBq3BJVD+amtqJ1OYhjE7Wb2POXBnNXtScHm6uDX2umZzhtfYkNmQ2xXu81
iZgnGGvm8+FZ9+KDLGevbb9KzfJUaLM4oEy/EBTJjzEp7lwYuZHHEDNszCu0ODtWcNIld1KiSgCY
QTwH2A0oeDnij6UWoB6nuzukIdF4cUN6oJY/NtYMEdBSJLDpdGqFPAJ+/WrKEiuITTZJAWxqgH6/
yKLuGrbyPfvzC8UAcaK0yToZs2Kphv3RcJiYdDpPANIOi6VTMEXUSg9IbliUazqEQ16KfsFw5RzH
5V1n0nUHwXDrmwbXuwjRvTJBJ9PMS/hqgjIlOK6K7hxSQZZOCNFLN5T+MOUy2QeGGS//Pft/nTMy
Mfv7s3+XFm9V+JL8+eQX/N33k18wTEQ4jvTCYDojdWrw7ye/MH8RKvYPGgEJKUnnr77LihhOQqFU
Gfzxh9+0Q7+f/NovJgE5oMgwhTiArH/KAkv0xQ8nvyURhmt4T+bKhAr4hx7BCsoqG5RyJAu2KASZ
QCz9joWF//NdnabMYMzSqA2dvQzh/CGtiOM+Y1QW0b2YOiJ1DQCtnXnk2ovOGhdkmn3xVWi5ueO9
VCK+4VZK4ciBPCwnEx29QaogQ9T6mJvmO7JQuu1UA1yZ4Z6EK85CpA4rdhcsh0A3GweoeelOyZKG
UR8A9nEJrzFYRpGPUoU1I52kcyAUIN5z1mduXfTjujKYZDUlbL4kZVudOoKYA4yQJ70bL4gSPdh5
4+25keN1rED3YBGi8RTXTPyfQL/Wg2MFLjpaULHMd0gbtQq3HOiG4V9mrqorTwmdW2EO2YUVtLfC
DFQGHcCHgRwXpJmOyqmKzC99RpNfomba5Eb0PkXRMyRjVFJ6J9IdIEvvUOjReIdR1EMeExx9FlK7
NojeGn/Snhh5EW5A3Ma6M5PSteqEJxgkPVY+TubsOwUNh9mryoVeDOrBYAi8CQMN1zB4w0NlWVd2
4kc3zIF2fTDeKgXAn1zPIB7a+ZVlQmJ3vIoVk6qbjKaY4E6xNTOye3y7Y6wcRNCm6H2rwHjqCp8U
CVXG+8ZDOEv+o4LSGgZVZVbngN+uwzYcHkfBvG6h+AJUBjsZtXeWtqOwxrGdEs+cBrhhVzSjdqto
bRLucPdOF1WXOeewAy6IRMOG9gzcSHpnB/Az4OXYee+EEx80MjBIz5pu9I4e3f336fXt6TUHIf39
0+uYf82//PnRNf/R748u5xdWEBox1+zz2ebzP31/dGk0LYalSdoWaRqa5Knxx4qEkCcd6hp7EoK0
eN781rPo4hdhz4MICcJvdruJn+lZ5qfjh8aWlkUHNUIHJBgI4N//cftf5qWOnCgKLtH+keRJnCmK
M8M6C9hseKZ8xVOmFfEaPVtYhkuq42Kx1D13bIDNrW01Fc1Nbwrfee+B3Veg1L0XCrpIxbObJQrl
hF6T6oXpU6z8SVEYGRKlRUlf6gFUV9FqQ4sby5gSbMa147F/JJ5hNriOJgk8bYPEE5/l2BL+ElUh
2b3Y0tlXJJHB1HqgfdiWfoURIWPkCnS1T6qzr88r3VZiQVn5tpqDOrNNV53ofN4MzK2bfy/9b5f+
DGj++0v/Js/y9OXP1/78V9+vfW2GW1lc42QXzmFRHxt2+YsxGzCJM+XhyAzv92ufhp3Bns58zxK6
NIz5H/zesM+9PJF2YCbmNEiVXv4nGnbd/nz1M0Vib4fuRSMBy5bEXXFvfmzYKa6RVhCfcNYkCEJC
Nqh9pTTbLxUkuk6Ph4WaevFW8aAzRMK59xqgNV5FMqBhWK+09DdW2jsL0rBcGiR14RXha6uou7or
D7ESzSoLkuDp+lFrsViJpXhmAeVvoBYD/yvLHXQdSAjhWTbKLg2cYx2PGBZrZ9kC++UemFhN1VD+
kIpMPZQc2SBANAFhKNNlbLb46ML+WpPNkxPi1TTi7IpTRyzyQrlVAtoDD1f4ogxJM/BQ3ESPhBE+
9wAdQb1G13WFxbti4URQ+D5VCVWKpmwzwik8qoV+DkIQDarQ95NRnLqs3du197Vw+n2omc/EcMVX
bKvYOWUeoeW4An1NeeorY4UdWrxUI3kxfWyTEFfdh5r61aedQ1csS1K1krvBUr5iNeODJA6BMPZx
TPxgJfgMnhofw6l4qaO8Xncetst+JDog0Eri2nEhegNnd0X69lh457rtnxkDwt2w4DDZ5abRWSk5
xOSiIwI2iGi19ECXaQCHjH7atr1Ql+Pk3EcmNs7eYF6IqaGxu2VtR1ckAxMBmJHwUE+HvrZ5hnnF
Yxig4uw0epESYWtZj/RncfNoTP2+N0ssenX6ntvVEU6ajwrQPzlELblZA7WgRiokGm1be061qEv/
VkuqncpkAosM2sfebIuVZgZfM9+68b1x0850nRTMzjjzdnB3vQ0AeCZAPCZAHv67bZZD6AHPaa/y
mdoTRM0lMQhwfIb01jyQUMbOzUpdk/vJDWbyjwUCCL3vNgIJZHbQzpuZEsT/8SjaclXklCfqTBLq
lPoGz/4mAjGkj2LjzMyhAvjQt1CiJidENANM1M6EohJUkT4zi4hVWI3zPIT5mr2MARuxEoNwNLOO
UFtvNOBHsaGvE2gkixgskh73F9HMSQqq8VQBTlIBKDUTQVns5qzxC5GC1QOhQ9INfCcFop1n1rVW
ICQAu4qL+kotnPK6Hv002YiB5B+pUnsG5qLVvPfYH948wl2XQZ4sM7W0LqxsuK/N6rWJOQ+KnIrN
dzZKEF/hI92R4E78GdnwxWAtI2nhfktUjjSjOQmZ6Hy4YlVajH/kEG3zZtBX2Cx79GHWtIRFly4L
1JYN7iJpji+DqVHbDs8oNFeqM97xQwcLO2JhHyqHrAw29OK7bFZE4RHwo8TFFruN0nEd2xnRRKim
sUOj/m8eRFkxGhp9V2OZ36Uws2QYMVMAug7TeRaeb3rHZByX8oPcN1W0GYcW+ypU+7TdhYrn43K0
3DGtWaw5jynahEVdBYTBO8IlOJyYotQEaBlnW6dUT7JxvtQ99WxDhtRAqkysk61SjEcdL0BfMexL
NbXaa33PbztHVbXbtq6+tFV3jgbbrSP9Vg19tnAj1OiYKZVuIDaNuQtVuNoMHpy5GboxWu+txLSM
KzrdQbS1l4Bht8K3hqVSwpDBdo5tqEMKSxxNaMzDoG4Z6O2xt7I9uUrs1qEr6L79lMh20Zj2tsU/
W8GLAUIPJLx7ULVi5+kDDjTVWsVRwvNvyBRcWfm1RJm4DKfqrKuIJvxom/AALMLu5JkTm5B8UWrN
nCN3gViDEsKYV9WjO014Sc2KiYzY5YBB3TrPJp7Ccu0YzV7NUHVlUOppUxZloc42duxxWvssQ+y9
Paq3ncB2OAviCt+/EpN9oJLpltOkhGtz6i9UJghW3oOELfxoRQ6Ps5O+AZcmGC5loqwJ272kqnyX
2OqytHBrs1mB8lXWSMazZU9LMDbFZWPZd0PYBsvUYDw6pAZ75EhLHmPpja5fdO9R3e6DQb1P2mxH
INwhcMDesH4mL01ztbB6N/xx1baiOAXDgLRiuoNcPAH7QMSP96Mmtq5SvBxVn/OEFO9hKJmppQEK
xxZCLyE7y0YEe6KKl8FgnBH07/WGsY6njzuvdCLUWl456lvSAeL7LlH62BVKxmhuanoMX/YqUWli
jBimQJ9OLkaYr3onWxcgAM54vPXONJ1FRSI95YLv+hpomAohmydxSDRYeJwmPmKy5HE5Dlhs8vAh
j7TLHMMBhSYq0Bw5f1B/QffqQju6ACp3rs1hN2k8vyoLX01mZHfDqNwzWwf9gSSlz6SLDIZsoLE/
d7E5LfXJvpmA1rkJ6s+rqiHr0EisaKtnKllWSMeJsRGyC36NLv0y/F//Lf8LbZH2eetEcW6ZAm0R
SwtKfnCAP27sSvYMoyOxht6ki0dj3V2Wy2mRLp2X22s6/4twlZPpGx6MTe8G23wdAD7cRsfg3wL3
N7sbX+jfF7hHiEZv1dv45xJ3Xp3+XuKqENMl9DWHBRPdzIfJFO0dvFQGUL+Z4T5MpkziVVGMfROE
zz/r9/rWQBBuOxZINrZRrKp+KnHF+qY9+2NtyQXkSCTiJLnKmTFLKf65vk2LRM/H2YGayqlbF6qH
jVq1nizbX+VW+6A1rCKmK2/sMEWLlVbaV23j33nJhN8WAfqy0GMyecejeYh85Yvs47tU8aSLU5lj
p8pecaGAjCR+qEhBZvnZnPaYrw2CI5cBLKmlpopnJeuKV9FkoDK8pF9FeuitJ5xKfQgg0/Ori2zO
CIrmsCBCg7LReZoUTBlzmlAfli8j8UIEoL5Upngc5twhsxmOOJRJIpoziQrCiTB8+RhLySsaVfsZ
3W+4z+CYrkQPaFQl3giZxbM65x3pBB95cwKSaaOcJhKJc/wEDWs5EpXEVikmOKmcE5TwEd2Rj/pk
hwrM8PyhnrOWIDGzqiKmjRwmEakEbY0Em4QnvSVYeg5sonv9mgNu8RtiNNgNnByY4GAntJ2eryM0
QMGYkytz45fHCqNzEz+VczIUb3FDeIq5aAiNSub0qIZuZBnPiVKeTrgcQLFtZzqkz/RyQ+j1wZxz
qPI5kcoL571PdF0QVWXOmVX6nF7F1mFbou6s5lyrRsMNFFTqppozrwCbXI7glOh6WCnNuVhBJt+a
kKSshMgsj+ismu0hZSQrqzlVq1bNQ4CsLCduazA9ci0I4EIwdEYhckIG7ZoRnsgc5VLvY4vXLdcy
CCtp5jSvROUwzWb0jD+R9WX2HRjJOf8rsZhtwhtNkZgjLBznnLAmnS6dxnoxCmXnKySJtbVGO6CM
TL3Gq94ySUMFRmaWEg4r3ZFeRteZSCNgd9VGKeSdkZO/i35sBU3RPpSc24mdH4sIsVg63Ad1/VqU
du+KfvTcySRrLY8wUo4VNIU4anbdSCgv4TYPbcjkY7Khb4ZBeuXVukTANmwZdeTrysd1N41mj3Bo
J4FVAZmx3/k9MF0VZ50mMgbOYYiEnFLIC0Vna4sxkTd0Vs+JCPdoCI75pAH+b7ILfP4HFRWhllIf
J2qxszv7Nar9nRP4G1PXWHPZwHHq8KZoFWjj5k7N8ou20t+Y+u5i6KyKmj1ndXJHZDpf6tQfdFnt
50Vo28UNGqHhKsGnP3hE0bUmwcaYkZx8Jyp9bXAolz7xC7rKPpMknCKhoanVSzXQk3U7Va7nN4+9
hXCv1qd1WDGCbJnEjpN1UTnatREW+zjstnoMcXFMqD2jTqPCqo5+YZ2zovtSh7RKtq/d1Hn9QDLq
nnH3EZ4gtf14nakJ7gxu+jjBzNaHD35sbUjC3aZmaO9GA0NHR20UWs1RZs7cMMkrPfJ3zAWuUqXz
qEdK8l+rHQjeR3Ugu8ZWE8pqrb3uA+NAfUo8g0WUbjalj0yRtlYL7mxsXG2YICnZ2VEm5jNmjE2v
9CugAOsk7J6yqt3Whvo+1aTigSpcTbX3GKrCmMlqSkbeATYgHKh9oq3tnLZlHKS8YAc3rSoz2dM0
HXQHBX/T0tEIh3Sh4Kx3CRp4gq6i3D/2HqE8oZO9dnhqcYElJ8SVmzJ3TlVGtipSxnVaqmIVGuI+
FJhFhf4gY+UkvOhmmn9CaRuvBdPbnEQKqfV74SsPg9qdUS+d1HjAGzNL68b+RQMuAlHSh7BcMndv
+C0qQYhp64eb0k6fCymPI0TMRRPO0vtowzCkp8gU95apXpQUiUEQuZBorqBykKms3yLxhFgxvUaJ
dUPL5h8yoyx2ICevC5wvylwLecwQ9Ml4FoW5sTSPvhAGUtSYOkTdQdvGSIM1zX+LR0h7Vpar+9Ea
D0JAbRFYWtdqKDdWSYfLRVEstQF4iumrWyxtj3Uf3pTZdBhb/9ar6i3IDvqm3r7P+nDDZyZIMXlo
yqDbDfolFEY3Urslq3YIIOmwMfT83Df+bahOtUvs1FZJpk0z2TuMSGwHxLbyHb4acUa0my0CTNNk
bdzEsxVXhTnp2hXolU6AXJbmsU4471dJDXJm1fYl3sg0xCzimdZey7ClpnbSrYOSHq2crEVod9yd
06GkvwWYyUci2mFLMvDG8jPnkiYUCznG4hV9QbnQOqTHWBaBBKLP73CWQ+aP1pwwGDrwWLqFlpC3
wBoX3LdHCK07JM1My3K6iygZWJQo43tGEInBXYzbg9xzSXTqwgR7RM2aPHS5r8EINyvXCsgEEkFN
h5tGJj6l1Ge73RTnrBTNYyQsRjqAHZS5tzSu6h7YNkoPBil9oqNw7GBYI+6aEncSyqGX1UVXhJdE
b6/1IVpBer2HFH/tl8iUS41dFUYcLQF2TADVI/G+0dLyUb4IlIxdPGxaNs1wkJvXjk2xwG2ie/LY
9SOHTAitqVs3Ht4tWd8WKoZX2wpeeLLeq7Laen1wVg06/0ju04mvyUH4wYWEQlaRj9B49laYIodI
5NJkMoJqGOpzeoFFnzHSiDLCrLxzpBJHG+fXuEeAf6TTDv3swRjCrahw+sfFLnX6hZGrsRtadDqI
K6+cPr1pEOMCGhzdNMtuswSwSKrEe1bROxVEkqOLJaXQRhvKHVkL+NGDnW+Ve58un6jlfYJ7tJKc
tNJmDFB8mROJoxjtgEelMBrFavKCFRHZS4LU3hgOHmiDlzUX3YBit3WSL6akn62dbIej9Lqag081
MuRYhqEYMLc0fTd1DCOtyYgVHwfMtZa/msBYeWiHHI/ZX4sntInENm21x87WUcSKYU3M9FLSJlFa
lIsww2w/JvEjbffSh4sOl1ZDOsDMHrjqTimie8fxNtKeLtVOC9joi9sRfKeMiodcmKqL8ge3axd+
9aqckBGkKytcRafeUE+eL4G0MyfDNbzSPWsTOeHOCVVn7fvenr3WWzEap6ZAg83zvTmYGheLn/cG
5jELoxME+pU3mvY5F3if9HaVJ4z5g0a9SnTlkDTDNNu713UNcN0jUnZR1Wq6DUbzyeijkfS60nBj
8jcGeCeu0ucPgzFd4Vx+0rTIg01WPqod5Ytqtuu47hgp1Xxq4v62zvzowXtMc+kEW79K5tzm+Ahb
d01gMQJcrdoX8J9czcTwWFYp+7ehpkQsMxdwwfsYj67oyhs/HIpNMrHFtFDfjE17mKr51Db0x0Fw
o0Uq/uZqcJIFHfRJxOEp7mFWRHqAZ2OqD0DtEdMP8kHzE/+ih/3g1MmTijl9O9/uJh3pwsk4zWPM
g0920NyA578S/RAeHEnwtyh2fqHeklq+mHKDMPK+3fhq7qppfCh9lXh0HRy4kb7DwUt4lmsrX9q3
MU6zsCHLtzOpMxlY1lrzOIry2hkAxGeFdYqED1o/wsCuj2Q0RPdl4jzpg7zGBZvvDRllwNjNfK01
+hPC6J1TAzeM1DDbZITA7ZVSMKAMG7dgvrKNEkiFdVZwOvp6qsqbQUQabURVKTBkklHXiO+RprLS
RAgJePmh4/uLFnzusP9ooGx8QwgDTQ1ItqCXMtUfGigtVNVB07LwHBXFIsuONehA5zfy+d/2+Z/b
/O8vYgpQHVIKWsnPXVrsDZVE0h2e1ZEV/VFVsNXpt01/+8+fhU70z5/FYgups/VDFfGDONdTVYcu
QKVw1977/E6RFz/977PIFAggkT4KAC+fP0btjGAfzTQ5Zz0XGoZhlke/d99/8Vv8xfu3IFjxDfFF
GQxEPv/7vkXouDRg5ILjSI1Lwzn8878/qzP/9Ft/+H5+eP86o9lA4VF6JktaIR1SrCvL1cPF8AaD
86dfakamY1DT0aCQh/r5o5DvqU4kdsVnSNMkRLM5KuCZ6HCWCLn+D9Ll+W3/8LE+/SzzJf5BKa2K
MO0sdi7nQi4diFr0XY3LM3Xs1j//oT7+/j98qMzC8dvav74QrDVI4ejaOEfmo7j4D9faX9yXSPGF
itZG4jieCUQfP5Q0Mi3n4M3OtVx7yUs3rAzvyz9/nL+63D68xI+X21SznvINNTtn9kvkPenKf3E5
I1diPUocC7KmH+76qEyMRle07BzxBET0l4z/xcMLc6VqsmbltiHe9/OXBPCQ+t4UxJhZL711wjK/
UJubf/6W/uKm4aY00CmwqtXFj3BbB7txNtoTskkKv3FpIy8yrjoAQYULxfWnX8tm5QsIykLFyfzp
8+cJPBIIgOVkqGWoSVZhjk5xZZWLnBrr+ttL/SvEF1zmvz903Zfm5Td2xeklffvf/9mHmV//ed45
/9H3eSe05XmjT/Eq4C3P2RF/yFmQ5/PcN5kz/jq7/K5mkSbifP5jWfBNfxO6fJp4MgmdbwHG3dZP
bfStPynwHQR/to00Rjcpf/UfLhHhyWaMC8s4BZMiqzsNwTXizWxMhRuAPmAeEdVaCB09pjfAlltu
1D65UhUejSqsXrcKhyZcNpbqERVvm3W5S/NqckerkzMbtY7kqkbPQjJBT2BSkk/xVZ7GD+wuruFw
PQ+91iwtKU+Ep5SunhnYeK2Bjq4MXnOLPaWmZhqFFzZZiIvk9rLuySKChzVKwl7WN4HwHguHwJ99
rkYTaJ8g9Yd7GtF6mYbttOkMcltzN+BfNZd5OzbZUVdG0OkMVMN5sgqrol/BZg0X3jx3Jfb32Z8n
sY2ZektRZOt6wBaaM64tI2XLKok4Hga5dFKkZM2z3UmH1cmwVztyYx9zBsDDPAl25pmwl3i3giFx
mqskRnWbaLoSjJD7rn4wGSnrWVU6x39vxF/FNf/ovr95ybg1Fy/V60vFufIjX0b/YMHnhmQ1pM+i
WBYHJMh9uiGxxJD/oqGngSfzYQFh/IKdzWA9QayMxY1C1fD9jkQ1a8KZZGeAgPTbRuNnNDY8k/+o
PuYNhIH6RSPsXZuFtvKHG1IGpDk0Y6qfgvR5qk/D8PTh+fRXRaGYy77Pr0B5gyZIQvVzeIbwIT+W
Ai3zWYYDQ3tiRrLStOJ9LPRT4kXXRtW8N5UgR6lihqCTQMnmcQcZcFuVEbkAVPRwMHPyNuUms4Au
1ept1AZrvS6+KsxqIV8Q5IDqHhsr1KkgOYtOGAjiu6bEjZzWjJsHwHU+X+LSQC4+Av4dp3rRq8aO
naP3TpdL1FMamMjlQmpJPUy+ltr/Y+88luTGkm37K9feHGXQYnihQkdqOYFlJklorfH1d4HsqiKT
1ZnW9qY9aVVNAhEBnOPHfe+1V8TxQgGmtshlG0BNjwn5sa6Vqm99NOV+x9zYIdy8XokwDF4l88Ko
DMHLzObRov/sUU6saabqeJkQEEncTNn5EhQCcMvFYWjiZ5jPR9TKrmXlM135od5mRbktim5xm6C+
DbRsg+joRJSIAviveBZEkFGSOn3LUwEwIjIFQiwXv4edTLPixkhyW6A7rdTWcyoK26Lq9x3ufkL+
5qspNffJMkHWo2UsdekezcRLIA0Au5iQhqBn+jR+6QiLJQtWRR5gblHUXggwwLSCsWUgP7VpuLd6
Y5vX2lEtOJU38nDKFOh9jH2biqTBucZlryLbiRcifNLssgnIvGmX6NDF4lPF/B7XZLJX12NTJqUr
HAft/qLeQAaiSmgnciDMeDfjpWa0g3E6SPQN3vjWRon93KukBIqNw2+BjaHo6N6RRYjhj2bK8KCW
ikNL+ay3WJ+75SKN1esoB7fcB/nGUIcT+Vu7ch534ZQ80DqE/muN22wYj5Gc3VB+MQtJsge5aO9J
pXnQg94vG31vwokWpuZZVzv67x3tIaV9Kvnw8kzDUpiXLymE7hkIO5n2rpJOx2pMTLuvQ+Q2Mznv
nYngQDXohOvGM2+Bn8TJUxgE2LlaIl+Evuexqb/NZbI1wfSqSvXcN+KTINAWMpjIpEHiDpPliFr2
uqTBFQC6haZKeEyTJt2QtAHlQDBuo8Vy6gqBQRiTJi7m+asl5bR0qmgA4WpoZImBb4hjHepwxfxK
028SS33sqzb0aYSsGNb17UnGG1HibN9Xpg0QHAFdPTVr0t71ZNLO7Gec0APkIKxpoI+srILxzX6G
hko/h51MkwiOtMguA/QhMF/BTgKDYnhOekil97zfJB2zR84CYJwkHmJCo2L9WGNXQmoDjV9BZeE0
wtoYzsrIJQG2wXwkiF63gO0tuiC9LtEqduT4QcfRNduMZvQctC+7brqo1Kol5IT2taTAu5Dkut1i
Ek28MO6PqF+ZkaRVsZEWbRNMi+Ut06rfUrPKK7s1BRmR/IWRibA2M6G9In46dIKgetOW+b4JlBcj
rbesb6ckkhjuSyQdzJlwDFIZvFYmadC2tAkKVJnflGuuJtyrIHvo0+J6HGB/Y3q8UPFOsbI4TaK6
CqoGEvCKg1EbLIgSN22seSqIaisDB0I570OIBplSr6GJTrV0xywRNpEWnRjKPNAschSAKaNFzm4x
pc9qQu+1JRRlNBERSp042YEaG6/VKMjIWeo2BuA35replI8+jvSNYsDPVwjRdJgbpoBM4ua0mOlZ
kattCvRHQgmE2Le1Jzj89jJqLkveTpaCngaT3uyymZa5UN1iaHDQp/UZQpA+8mYiCQFR9D2QJ718
LlZuxRQL3+oW48Dck1TN5bA1AmK+wKMDOHhOERkNSTRsCjWfNyz90UNQcwWk87dFziGV45O17+cm
wVUXngtL053MUMwdsV9EeZbGLRmJ6BbpuaG7kIFEzGoQ+MQg3erBfGsW2vK4BAXS5R61otaHkm0w
wukg7G8qkdkqJEuCx/iDNlFZ/SNUavj/5hzDhYrJsIG91W3VAXtTOla+YuYNwq3yafVXMtfwJwNp
TlvSFzL2aT3fiVHiDXEacrqK7vpMBvVVW4dpJnGtFJLGLYMMuHKfwPIXxSeEAYqrTGr92OsVk4MS
V3Qa8aBDVAcPGSiP8mR1N4GsTcQyCxYMBXH2Pt6efzunU43rEqUGSna0CNB7f9mc5TzXFTNMinMH
EU6blp2mj1dj037SelgFGD8VAbTQvl9nPYdSXfPavy8COmOBdhbhtsyyU6vLd6xKzFbyZ5bLxh5n
a232Z9thqvzMTLetHB2jQcasUhxYqY5agGrRSq+ioL/Wa9FTot5BNAbpPPha9vpAzCoQ08U862JI
ufbXAesfCph/vHO0/2idVY0O47tDupb3ZdxZaXEe4duG862YIHYtP2ltvcMery1GZM6KBS6BbwgH
1bvfoe1TkDwp6ZpVSOaLoKs7MgpQ9wZALpJhgCYrDI+kYZZXhcUzaIm70RzXqX7FQqXgoElyqAdL
f0WKrXWDkdSBWMfsEjqQSj66o3HQYEASnmNIaFPACG+UeW/0fMzsGa/pNRPxl7TLHClj/riMZNG0
ku5FMGe8tFPehEb2NVLZSGdicDbTMnHKGq1DhKqCrWiF1Ou7epG/xqrxMkG27TUomvDUT8yjB9sw
ZoLOpDE5iRGdtGWCIhxKXYw0IDFIeQrvg17Kb+tRY/+QwqOWM21s9arb6tLo0cZ36rXhPidG6lWi
fEFzs3CnBfgPUtBjIILg93uN7JpefDIFpuDGKG3nREWN2EReURULQkMy1QSR8xOlx8Rr5jIvLd1J
yLdNl2t4u6d9Lw4vaSxHbzOhoqJe566RRSeMnoBQ2tpnvmWhZJ2uc13PzhZxcpK+TIfaaH8cqv5t
w1n6x+eBF5IjOZ51yZLfOdUDRSgL/ll3NiT5RbHa3F2qITvrAlAR1tPnsNXIOschJumTa8bfic/Z
iW8F9E2UGlvC608EDdjjIp+00nyEIhv5ba7Vft+L6i7XSHwM4Qkhwx6YoZZqvoUjV7kj7iamqQL1
CAsR2gdSDzUmITlAfGaRJbtBj/ylqhkk1L6eL29Nqb9YBFk6g1QaDCnlO12eqZ1RyCqQrvSyrZ1G
I0SuGfXHxNSxhMlfdGNa4UAsA1a21YvpNrDQ0ILlq0vlRtfIyJ0qBIPyjTYMpzSJbupYu84Na6PP
3aOZwvahbhQ9vWbyGNWDh858cEytheGYEMYSyOwcuvAi8Ew4laU8SYrwKEVDzZx9UbzIEP1hIY9H
mEoQSc1GxFFsFQOWXoJ4osFV0050THM8GOCcyVFq2eah9mXdrTJWZ8ucdm05vygjsbRK81IYugce
+pTimkuH9KIEEmYUuj+iyY7IGHDiwnBkK75KKyHd0Yzzynb29Cxw84qCptRDziW8jINgXY119w2n
QIAnTXSQ+PpdB7UHK6Arh2jVJURE8PdjDMt0KcLcA93ijGuFmvbRkVwlj4inh7LsMAbFl8yY7TBi
jpMKh5xdPBpx5EoZTrfWJ3WisHbEdkgrWikLRia4DH8bhKy9UCdMW4UNuYOHBXmyYYHEGqVwdFqR
RXdB45ngBwfxe0ny2jYsukM41sfC1Kh6u0xgKAxcc86MvRqOh2rVApEgwm9TxZIz0lKPqvEktJwS
MrKsiY4sce+jnbrUNc9ICUsxz2irdYKg1W1gDA+VKNhmLp50DXYVWaTHJBoZSwdBcOjlwUAPJUmO
kQTFZhyAE1I3bMu5a11EY9tmoAoxkIfbBmJ4EkOlT7a23xus0GP/flPft6HlyJoTq0r7s86+P7Sn
vJicacjtYLxIm5PEieXj/ej3ccGv13u3k8pRVHC6YGUoy6+S8WWYMMwfi/BxVLcfX4gg+nd7NnvS
Oo1iukZnUP2em/bTYGJsu6FGpTGdF2kOPahmTCYC+RbSeLmLSuYghKUeqioWbWhT0slcoZZ6QnDg
kiDTI02CX0YSvoHhuJoKxbQHpb8X4vICheNNRvnGqQcAnHwzhUxhi468lC5+LsADCVFWXYd9Onha
FHUbwFcHjWk4hYU3gzZ3KPE2RacYD5Zs3VQoHOik7HsF4LYiH5Zw3mmVdTGm4aFh2zaY+KcydFSw
GsAwHRCgD3nVeHEW7MYKWH8G/K7T8pdFnDUnG8OnerIaRrarR6JVwk++1d+nFr9+qe+GMHB5C7II
zOlsTs/R8jqbnwxePvv7320cogC2Qw/T+RybN1Vi2bVy98lj8fFTob97/nI9T8VUDuezJl/GqmTz
NYmgCT6+yPot/N0z+lEOYfo2yflbR4n6WpT99OhNRjuSrcSnAKhLhGU35tQkd/FkfPJrfJ9D/X2h
7+0vxTA0iRfYojSV3l1oTuKC7K0KTKwtvbGpubeZH7jgw+3YebAL+2HHEP34ek0y0P3kvTCVe+WN
brfK7uMPLK99tr9v5Mcn/mkZeT8ws/B3V1bIMtL5gys6ojfd9BuCxn3Ls5ys8aUN37MPOsOGmOJh
ihk89Vy8fXwX32da7+/i51f+3YgVjwTI3Ibv/XHayZ5hd751adgXrWpH7uZBc466m2+sc+RP2+JG
294GbriZtqx79rIhEb51aZ25lgu9d1ts2osIzL4duvel3Z/xdW20nbUj2G7b3OX+zce3vnpxf/sC
f771dxW0ILdxVhFPe9bs0q789mvlV7eSi0fbDdzIjb3Cz/fl5vLt6PU7zeHAnuxxh++Tc+iw+XgE
qH4JnPuP70r+tfn554P81xqqr//8pwcZQNzQGDp3Fe0sO3KWbb4JbguUlURl27od2Eib7Wxjnuut
/Ewjzfv4+uvj+/vv+fd79G61YakR5raap7O4lJ4xjgfSfM9DD/jz4+usq8pH13m36kCGUYZhQW5N
TW0P45s4bUf9dVa8WkRoWfkfX+2ff+q/PtX7w6SQs/hrddKfIyPl5HddhVf/fxd4d+ZTJhMJIXr1
c6od5IQ+oGW4H1/hkx/m/ahUyCuzMNAZnUsQkMQbVvLjQj7Hxxf57Ht6t7i1UtYmg5F052n9VfDT
WNN/PsJet7O/f4p3D1hfLm1ftPl8HoeJwK5znk7Okl9+/Dk+ebqMd6uSHoTCTHOO3YChmmoVXpp1
FwqCNwPybDLK5yH8V4LUvz2B/ePvA48GYRFCFtwev763mEYUvMJdf1bzb02CMRjpnL75+GP948/z
0zXevTQZAVoCJO7prCUq/furPP+kq/DZBd4tiQuR8MBr6+EssmjTjE6V7JMn7Pv++NGLv25rP61v
pKCbTDR5jjkb2LUT7gkJPXFEcPZAirzwgljpT0xXax7Dh2vN+ql/uqRE/0/q5Ig96pHGMGpgB6SI
TUjdi3RcdoN9uZBfxtatebmDR+xKsK87b93VL5/qS2XPqR2Eujd39rZwos1nt/ePG/lPb4T+/smJ
m1FEDY5J9WLdyAW73WTqrpAcO92o7kNh74l4PXwTXzmcNXfzAVTwJ6vXd93IRz/Ku98dq7Ae1dZM
LeEOLsPxxZbJTThk7rV11o/KpnefZD+wCzq2PqS2DRDUT1boz27BeLfvwawV1GKsurNwKG1CJYBD
fNF8yTUO/ddpW3n50djAUP0Gqt6ZNulF6CZfP367vh+8PvgW3mNBU6B25DvwaDY+vkmbZNm1qtul
zi0a9N0OhbS9nLvcfsAo5OZ+tTEuCfFyey/aIV59zpxP7mctjH+7n79fd+3dV2IKFrOhgiWl9tSN
Th6GO/mLvxzjg2S/YXvyU8fckUlhg/50jDvPpDoovG6T+jexuxYJ/yoO/quhkXjn/mrx/qahOZbt
//xvEX7Nvra/D+7XP/qXkoaccTrWBOLR/f0xgv8TDCOZf5AVjhzWUHSgLBIFwp9MK/UPoPb0caFf
KOAm11P1n4N70mRg3esiiCwG+5r0H9Esf92haHBKxM5gPuX4QnvQEN9t7okJd2IsrOTc596iGbT9
Nmr98NMXc/nj4fwZnv8DL/P3Q/vjKjCzGG5Rw5qK9m41q9HlZ9oCJbMrSbt0S1NENkjepukEipx6
idIS6jLL0tEIiaHsqwhu5II4PJOTa0AKV1lsbmQtigmjFHtXlATNkcg/Ibk25pAT8qrJ+a4folM8
WFuS247oLq/aWT7VS3lAdnsRN+FeTKBu5EMYoriuLd+YSfMMerqEsWx9kSaA43pKcz7p4IFkWf8t
plONJFmnpG+C3oIkyJ+HaGFhByLXYz8KC2X4OBluJ7SMIy2aEVO/lMxcuwISmKzeBwxMNkamKaQx
CTTkFZGum5hGtMT7uso85kYkExJE7M5mKs7M0asg2TF87Az6HMwh5naeNkaPbxqWZxTZnVIp5v0i
15juGARuGmHRtY1UjvCunUpCOFI7vZZ3c2CLkyZcmLUsnPj78ZXH4DNWCHgpFBuzJJ8YrkiDjULO
3MYwYzLM1XTfT7VuXnK9VnmGTmAACpxLQtvDWbkuofBMl5G0hn+Fs3WwGt3YA4oPn0REzw8E2UJv
yGbAU13RqzuzTLWGqeUK5DCjgSAUcWytu7Ikzkwv1MoTaCG7cjVFjNVo19UhLZdB1gZa4j25O3zn
R6TA7UsbhQy/MHrNEy47q453AsR2j5oLxRUD+Otl6PeJiFTQKiXrOpw1iVF8FLvmbEXEvuaiM6Uq
Dg72jTp+wIozHPnpBlevYwxdHVKtFqGMPWVTvNcXRpBGR2QwLUjJKaxgDRgbZGZDdbtBa78dVbgL
0SS3VwwsJM8U8hP2idPQtBwNm/hKLbWdGfWcF/VsS9xE6oaKeNla4w3jz+EOarn5jagEu01SVx8n
/VtJPLoGxyENaulWFHo/1Dtm6mXqWQJWA5OZ1YQLgTnGl7btvnIa+zpDmUTY5cJ23cME8VlAwMQt
G3UST7M5uIrVbXGzYTSI3LAZXkWtP9W54Gej5CkNQ7J+fiswI4blWyD2kjvqmbKZjJCb0IYnTScq
dsHNpbdpSy75SITiuBzlXAZdIJ/0qifPO32q+PnaTslcRgxeMOh+KMNrEJenKWi9MA9kuxZr3MAo
GaS2EHeJJiWuNEcu4Z2XfMZrZryMX+IldOlltY46iPEpQp/toBa56rKiPdHHPoTyxMPcSZusJpGa
jGGesnw+WLxERG6j3mncyTSPZqUc1al8gDjgpJpx08vhVVFXR4P/PiDxwV10FVnxPpOBsRDG7YXh
ZMtzSusuIrmpb8rSCRvxnArpc5lKz9Ct9nGbHnCb7AmVu1pI0M5kchqYPGpqQjR9PR+wHm7pFtCE
jOa3moFJb5Eo2EC3gLKAh3Lcm+UyM9Eqin1nll/yOTBoHxaZO4ekN2mTkhLVV22YkgnXyyzUnxRQ
dCh/KRe+r7wIs76nsOAM599/LXOjWSITUs/ic1mnsjdkFlLaYU7dPB+yY5cro2sMgR8STArBcfkq
VXV7VdepeGsSX2+X03Tdk5wtToGbWsaDOHWbOtK/YWIMIZzSRw8TQKlEJ/nlwjOdEU9dBmjP0bDg
Ea4H2TXMbjuU5WtjLL0TJ+29DEXRg0WvOJIIPyQDclGTirKTqpROEd13KUHoS4RpRkhlmxtfcJ3e
EEmyJ9yT+PJsX/fy0ahK8D2ytenGuXTbOd7KE5nm7YBxOMD4HanJBlW3ga25vVbnXnKqSN+LkcV7
rYQi8SQSPNVmukNEohI81uPJm/G1xkvh1LoONzFOT0O1nKM22aWjttGwQkOOqXdBAVO2N5vVAIj0
BcmNFlbHLMwZTxbyRYy9lhzoLfsaKSVVubCvtX6ZNBfASq7hvdHlKobM1QsStJUKllTTXDIRHChu
yTxqAJGqM87pcIpfIF0fYux2GCArx2wWH5zpl7QWN1LFpFGVniDLuLmiO5Cvt+SmnZQWjp1lHMVa
RK9mCV8CJot2Jde23pO/SqymhJdrXcu6Y2zoj7KY+RjtBtsU0qc5lyUSuubUU6PwQlk0CW0/ri61
SsytnCf9famQ0IyWtDll5ZjvPi4Sfj1lfn9QdRVNrwHwizyKNUfo5/NYgmNtasg1OwfIfJRk3zBa
/PgK63nl7yKEv1KhQwuKjM41rQZTenfIVHQAnaYVkpSpA5zVL+I+3sbVdTOCqm0IQdNr30q8j6+J
kOSTq747Z/ZV2lWqIggncabXKcuMn/kP7IqPoUrtESEMdjpTQzCm7HArps4w4ZrNCqbtooz2vWiW
x1IwjnGnig4pMFCWRunVjDDg52Jyp5v56NKoPxiZ+qQH6bSXMshmPE1F6fWLUXhmJSCJxEfpGMU8
7/rJUF7LIul8dUF3F8fxW8azSotNj1xW4NntcLQ4RHnfoGxaNqyHd304yLs8JOho7r4kKCvZlG7b
pvH1lgkanOitIkaCl4hUKNgjgYstvejUuY5MZ9RA/cXTtRwVED/B/dRKSLC6RSpJOyDqGbF9VfGu
UYXtPKq300JgipjutQ48Q5NSrMWBkjlJF4P967VduiRQimq3mAPZVTKReU6QssqKD4OIJi9OcvSO
06ZomPcHC0+wiPAgRGuhVG6ZwJqqlsR0myw4AQkg0tzYSiUOajOcbiKd6ekEUq3vUvRTCsNb0jpB
DsQAV/vyRV95DmJ+VVe4aOEi2q20xzko2IOG77xAs1ZJ0l0xR9spmCZ3aPozujTVTSpt12DmN2uR
UL5VwaWpm7BSjwZ29k8et8+ecU4UP79Fo0qJAa9ZOCXH4jI8C359qO/HDYKcrX7EiR45bzIW1710
Kp7HT1oq39UEv79gqzIH9wbY/vXmfm6pVFiNU1MVTpWr2cVRdiofK6V0EB4MX/TEuwvBOT4MHqi6
4YV/yc7zUbT3sR+cV/7UJ3fz68b3421XkCTjINM5Rr0/J8/iiHNZSqJzJF5WdKxi8aEZth9/3b+u
Wb9f490Qa2nyXoiiLGJz/Ro2W2v+pAXzj58BSgyGClXBNfju18wnUm/FuGbzFi5r2HKNRs35Y4X6
7/F9XYn//fH99NLEVflPoa7rn/vr7E5ivWhAoobqaqhET/4iuichBA7DCrxEQ/P30d34A1sKNAMN
F6P8/Xz+19HdWKGuuGk4A+MI+0+DKNb+wE87GmNHHkG2NRxZCn0EbDq/vnAJQlfZWOToIhcXNThF
cqc9T5IYmTutKYrwshRGbb/0tf6sR+rIAyoUJGaOkzA+NYvR3oMwLG8sK9ZA3Sn9WPpKYXQPrUIY
K8I4dMl6lJDrEwv3k4zufApJDchkOYXZoF+aZrFBCXnRD4SkZPMLA9AXGXYeVuVrvTVzL4CQIq94
eXlGjyqlujcN5NMRWMxKC/KhRR7L4aR1QnF+SWv0qPXYjCij6MO2Ety3mRLUsXTTzwpICUJhIBbp
UZuETcN0iLCuXL9WBxQ9kCvcVKFSDFAZmA3ir0F6qYv6plLk58hMICcEGOKLIkGuJC/EWMdW7nCu
pVpUtetEN46D2T7KTFBSvciOxHAd+ijt7TqQTVdtDVjPTUjuwwgHrVrS66Gu7mp1qU5KMyBmKhhg
N2vKZ0OInT2qqOKbDEd/p3C4nYowO8JYxSJUPSo6KM1WEpHHiM1XoJmzl1pT5pltv2XMshGtfCul
eKINjNUzYk1VRXNiyjLRsR3sNSg03JQ0OoR4aNu44D+pwwTdzCrviyj9YqBuNOFSmlX2JqXRrV6C
d+i6RD0GQDXjSriKqzpjx0LaF+QlqnL41+Hq/Ckz9O66fotzPcENbnwBynhYOPZXs8mxSzQ55xWG
AeqmTOwynA4FKpxOHAeUgcUmi9FBkT1C8ocEd64uQG+2VLkgX3wIjh4avJsCUagjwNq0I9H01doY
zr0ZQj6dW7OzG3XXpXp+z/F8cpu0Rz49UCco0bkgcQzghai4ydzfNXPyGgzwRvSo6W1M0D45rw9g
ZB8NYg9kUHIkDlMyr7chDtfCbPp1sFxkEEbbWPat4JKHtQRu3h8zK72E8fMc61buF5g1/GaKSU4j
MgF853zodB47SUuOpVy6iHa5ccF8EIxIQOkxxo6UTIEjNGvUW0rUS36hWM2BBMnLocUg2Q0NRbih
+oJSP6uIvSNNvsu7LAR3aeyrQb+YV2xUofcHweIINtT0j4P21kyMV12YTo3ef5WD/LbtDBCDoLmG
lNiWyMDklVktUih+hyDJv2TSyCu2hJjepqzHTa9f8OGhTI3RY92QwyCJ+YUcSJeUHT5s01dBIHe2
JFvYiOCI5jAZ10CnY6FEByPviodIZ6vJZvz4YIeyg0AIF76XGS0nBDTHyPOXMQDj0c3ZlQQ3JxNK
zL+UkNSy6tYyl2NWdKdeQgTfq09EpLx0CvnpGhcd5asE0EcWWLsIflabiRtVUbdKBa2DPMxTT+Vu
FyrAkjmFoSCn6ykHoIUWYRzplEMsNcVVS4hgu58GaT1gFwN6bSwkllXT8UjMhz4vMtoaOdaZmtOm
X2ci0p+Wuw+LEo7YpMqX06zu2Velc8SL5fCbaxcFNBBgiA0/TmdMD0tdhNeNJGWHRE20TcdX4I2Z
kG0liBmkw0uGYodtEIr2oHfRthMU4nWocFHBViLUw4REjO+703+3aYnB3Efb9Jev/+SMW//UT5s0
dd5qS5ZxumFJ/WWTJrCBFjuNVQzFBD/91WA3/gDLZ5kUVjjLDXN1NP/ZYNf/MDCVmvz4CIfoVv9H
yetAC37fpRG+of0m2GLlMXATP5fFqKfnVu6IAApYZow5R93Yki+QzQ1Y1uyhSsGXTp3lLvG8N4I5
3xR5yAm7R+ksfVWFoXZGS+MAMxITYWSHiawIe7ESslEHEa+bcLUeq+yuhNZj5tm9aMUros6yPDWu
3qS+SjjRMcTrga1LwxMB6mRcp54mc8yMw+hZtzJXoMd3z4lb3BY0WcJ8DBwj0AaX2y6R+lKAxgLk
Akl+oioo3DpW6V+CfHeJ7Vb9qQu+DWP7Vck0HVmnqHtmSRA2zdCbMo2uprBAFTfeCzM7j6WHg1Nq
NF5TQdtrukAGNyg7u7KiGedY+WpqyRuuHdAPoo7Yl4/YE4DltZV0KWRsAVl4KqvlkJQxxtRGE2ls
y5daklyKhTIB88pWA0s3ORlNgI2uVjCP2/EtaBO8KFIfY40wM8CEGqZbMbkdhvkSwy2iUrGr+UgZ
zLvcumlzVLW5dNUWY+MnGVE7grUcoszaR910qMpIdAykZbbaDbtQQrcelpQ42JaAzfWaQCJRa7pW
JC53bVpC4MXP4/UY5Rx8dsrelPXEt9Lpi0Dk0D4cIskRCzF02zwxN8poCl4VKke9lna1alb+3AfB
1SwUhKiS+erPIYdeK8utVZxLunhfRFelLmzKNRM0Nug11c+zWC2bNlTI9KiiFVdjxLTrVN/AurtT
g2FGLR34XVgThAqH36Z99dZh8nckg/ZqBunMywrOsKSDP2fGuNPDpjoRdDq7/KWzKxNviuRtArY/
eHEgdd5Q6O1elutr+rPQqOVhcpNJ44HsMWmLrapsGwxvTtgvb7jTFLtqe7poAvCqJC1WDHppbONE
Zs48mycjB05sTvrXhmLDI4TrXIyQ2ZWOR5nW6+SGQ5z5Vcj4SBL0myJSngcDcEzMOm+3ppFtu3aC
bxiON8IctDsyj94MIuLtMcfvnYaF6Yr9wGNsGeCIKdtqNVO3Qq49WYn8SlNyYwgTss2pPQk5AtVQ
YDtXx8Jdovp1tuAfGCOmK7doLf1KnJdO3UsLoy/6aBqN5amZc1sZv2Zz9DDBt0Y4beIOQjEPmmny
Z6VTLo0xfxqLCqWbCYEWQCC1pjbfT7TFaWCO6JNjxMqjlbqosGcH0PKDWfbjZsxwpsclmTKkQtlS
FOqHph6gUBLuwD5Z3C5lcNHo1bGfgID0ZfEt7uobWYl2hWweBhOLB+idZYk2Mv3tSMALlsCLAOsY
2ir79S5v1GuiFAZX4u/1ATsfTIXhDD3bHeG/Mvo2btwKt8CkD6IgfmO79KHZr0uTSv5aPu9LYX6R
114MfDHNrqduJAl40Pd4On1zCieOFonRdQ9FWA+lP0XkwpOY3JQ3Cp6AezrOIwMEGVuiLrZDs4Wz
rD2Haantu7bKwssMCJK562pBfQ5CXQ5OiRanm5yaze2t4EFigOBpk8yjEYBVC3hetmqJBnhMUC6N
PHeeVtGbXz2SvdrjMs1l2MVwtPRllcvXIsRSSElWGVyZMImnArg7QZMrZCq/zNDE3vXkFHk5yXT0
pzLZ68PkW9gYVw1czi0HLn+O22pLHHfmGJVxzSiGtv9wX2tQO3mLN2bQ3C8WzpVaBISpxoc+RTFc
VeILhTJBq8V4kcAZkEYpc7ouaLd1Bv+taIOLORVlZ+6IHRcIqsS1NErprijp57ZK8WKUQwQrEM4M
SsFjnCavsjmyGkyvE+C9op5X2CXGRVXlPcwG9PhCeitOx4LxXp5uTY0Cf9nQFN0Ig3kBBCz2hzn5
pisRQZsdfW8FOmIWe+QN4lgx8TlkQ63YJCPc5IsCkjBg9WvyPPQLcNF0ORFFJHLswU5HPAJsRxlE
yclH7NSyXl/HiWa5WWMcg6q+LFsx5vQ3MhQ2hds6ks8qHklXCwUfsT5R2UZxT94hvOf6LOhBQcqY
/pCYw1sy6tFmnLLDCNfZpnV6CKrlQavRYlfxxayVOcJffV8FQWT3SeXHWJ6q1nxm6B5vFJHgHF0o
8XDmEvVvjL+bZngxIwVngsRZSsEDqn7VSSL0x4XFVjG7QwLD286NVOf/OPmk+uzVzsTaGkepHTfG
Dh4w67Mi2emAEU+Ib7Igf6l7nI81/1s3H4dSuE8VfmrRrL2Gcx3LzeDnUvg1saytNpa4/PinQWV+
A4D7pWqlQy7/F/b8/37AnlU6Mf++nrxhZBfPZf+7ZGP9c39WlGtgD3XcOi8Dv0qsyU8VpfIHnU3m
qbgqqQxXWdmfWT7yH6C1qPF0rAj/Sij7V0WpimQDEYtC1on6PaLM+E/yTDhMvK8oEVEg/aC9qZCp
ounv+oJ0Z3D6NbwP/8femSzHbURR9lf6B6BIJOaIjl4UamSxWMVRJDcIiqQwzzO+vg9oy6YoWWp3
R++8cVghURAKqHyZ7917z1AJa5118Ar0AkjzpPdb9k6oNMeRJU70An2jIfaCwQ/tc0INicoV+X3I
OfNg2vMQWtPK66g19a0xtPVFH3vFS9HMjvekC8+DxBottn1jiP1J4bCaqspwqqu0OZYRtjhFMKlW
cZai4/BUIiIzL7uI/cJ5sZXgahwSkuJVVTmT4E83k22mt409Gg9JZ1XXROe3h6YOrB2GJzQTVqvE
a9UY8zvcd0Qoa7V8ZduU3Bsiyba+UTvLrPDqp05zxIoGQriyKqffWFFP9GTQFZc9eXNJS54wDvZi
2fWq3h0DhWy5Z0JUA32vIibgC9vkcYuDuwESpPvO3B+m7lFAvTqrjlZQgP/0EYNcB5EzV+AZQjQ1
2mT1F/C5YAwJXw8GnVBo0gnZxHfYo5cGyXzh3lQyDodhm4xfyMgt05XsnTU29uHBpGw/wXs2crxi
YD78wDTOxtYcr5s+n56A48w2PFLoMECBfgt91dl4Red/sRwrZG84TU9eHUyvxHveVwyJMz88U6y8
Xqaq2bm9URVbpehxJdtqO25ibMl7bJHjeZwPtOKxnQ54sHNw7WHvh/j3UJEsyi4tZrr4Z90Kkx3c
71stBrvEsIih1NzWMewK32RUm9d2UEBzUBrnthCleTE4pVjCc6SDQMMxv/HIW3wlOdH5oli9cqYl
iFeKIQXWraJQaLph0ylKPXCALstmSUhx8dVS8noH2SW7At9HiqmYzEd/Uq3l5FjR7eDF2Pg4eR9Q
tkYPxCnkbj9Z43kdT/nD1A7KnpcXoo4110q/8u5JpupvM6Z4qzYfwmuAoMUp6JIK/YZmUdd0HfNd
XRNlCj4zALAwGDXCCMhRcG0Mcys7+erg/9UT7cwaeu2S5FQkF2yE1NeC48a6DEW9cEjfpq2C1uK/
s/1b+M0MgvrntXhuwWc/LsTzD/21EP8SLMXyx1HJAA9O65uf+qadsz9p+PmR2hEQNUvb3h3trU+w
FOiZQ3A0ZyP2v6KqybeR8d8TLxrwc7AOynVJUtYc8kYNeX+0t5HnmaYipiPpL3clb76bMN2dTa2M
XKd0bZfmRqWgGyNh7YNzl+bsi0VLnmzqmDeRrR+0vNkBb1mVne3VS8tKM2cVIki5TXJHhf4jLn0l
q3YNm1IWQAIcvkgCIuQiU2cQBWZEoBTGG59iJlWQCBKu0pleIWaOBZ72634mW9jdeHSMBFrhDL0I
JvqpYDBGcBg5WAyNdXYhZlKGqDjrgc4IQvuMsrQcQWpUE1ClGMaGH4mrAugGW7Q72dVQOGjsYdya
hRJVzBku+zrOzI4AY6enQ/GQM8/DkMOReJ6nMuHgZmDeW4JlfCFIYgLUgerHIcLUF1BCOFWr69gy
LRrECliRfsgVF6/pXm2to0YcbwuAZGotV6iBBQUnYKYgu33VFZ+DGVqiExJiJ9plnNcrjHh3cThN
iwrQSUPrv5vJJ6oH3rbIv4IrYDobXjnt3B3Q0vPCT3dqOt7FQFSUvPsqKtoDJNLjt8UfsJjCrlso
CpmtWhJvy1opXC0wXQV809KTDHUNJp9MOYrRnRD0uV2DHT7IYSA7GH9zIk8XqRiVFY7jyc1wDrok
kD6TwXKWaeq4aeaM3npAbGZLdo/atm0r2LTwJjXG8YegrEpCSU2zTTeNgZN+YSTpTmsqt66NQzPg
vtZy+phB1q114X2JmdSQd6ss9JZDeDY8kcEaL/g7ZwgX+qUBqXhAfzjQlCdR+ZGLt5V9bowep3Ze
YY/aB5SqpL6IugXEHJjnSa9tiyirrgk70i9kQwq+Kn0EeZYTLSey1IOOEN7aTHSOBBadctjQyFsa
MhgoFy3aTUvRd3jO79C0bkUr7/oO8i4RBWKJc1Nl/Cuj8yKDm+o7proKDJqxIM2UBamyuqvpircZ
SYm8KAZNXkJrplcQdxtHxx3c+2dpXHsE9conG/oigOgxPAKX612Hfvdop+u2gV3MHiZxjT77MtY4
mbvwPveVBZDAeOUHPM+IfveRPSHDq3TzblH7ifp1XgP+XiMYPBOTSgVnfEv83Szc/X6NKLShixPF
UY9JehvrL4ax7H+nnfnJJUh+IJBPzENA9F7fX2Is/KGOQvJQ4vpLG5/G4ib7MzX1v/6zxvP45xpF
QNv/WOO9fw7r5/zHWjX/8LtahYSbST1VgYDDuYx903lL7ZMKehCPE4NkFNd/Hxo0hsWouDkV/P1T
39rQ6MYpYnNwg+Yg9/53Ou/vpQpvlQoJOs3x+eDCG/nhLTRQytiRV03Hqflc2t6inZo/djH/6HWa
/4aP77mAsEg1dGbY4weh01R4ZjEUmnqsWXsqsWapWtTGS/cvRRdv36f31/lQc3MFjWIFOOFozGDR
6ry3Xt494Z98YeVPvk58Gn/fyQcpmq+WGesedyIHZNj6reV8panlOsrRaTtaLOiwuocCQlp4ahih
quFrFBBmfpL5ZZNd+/2MU96bhr+yiQ/zdWh616C0lgOz3V//Sz8IAP5YW97/S3mx3u8/NDhwDSxG
Pgtt5U1gAYrPLRJIMl+OPYgCxnT03thtI8Xlf20z/I3eaD4J//DQVQjbpmCZM/5Qv72T/CB6UptO
WONx7CLmwapTJecxKbUEtRV6CZw9EhnIENs+q4aa6X1/pSa9CXuLzksnlIlMjzJYyIJRLe3oOY2q
aatNkjKL1856T9TaQiqRejtoabTRYodoNI9hccaOic7LrmihxnTlmsPOsmvGTTAdO5MdkI/9BYxy
a04bgtVPqTyRGb724Et4TAfRrvn2gdkLDTxz2WFFkOzRWMNdi4iWMSpQQd/k8x7OBEg4lRUfosr2
oz23RLrqqTrlfR3BSFG0RdlnZGXpl1F0iCgdHYHFt6mRLAqNhJDcuWkgRjNCXETdALwo9HWipkv6
z3ZKuzROHhr6y2k6IcQnnGgZ+/pvzHsf/Es/fPE/blH70KmjZqino9hoW283nTeftQ1EjCNpJOfN
llSVFaMKl1BDzHZnKSam4UHZxetmIzbmgT7/b0Jp5i/Pr5aJDypMHWeFlc6vbB7v2JeQDVhhu1uX
4jfL0c/ezPdfjQ8Lnh2mUxIEXEfhlH4zvJS+G7auLpem95svwZvM5uMtvf8SzAPAd18Ch/uvNCeU
x0BzoxN0lnZwmST39SpyXP/Y/+7Wvl/L//jWIwZjpgmCHmvQhxWQ7ITBshBtHntUdNn0pVNOv15X
frYAvr/Ah89OZKGVdb6UR2TJLa2JXkGg/edE+x/rxe8u8mGVdQbHZNjDRZxuP5VnjXkjzcdf38fP
StL7+/iwPI7U6qoipOg4BwsNSb8Q5hVWJ9CL/39O8IeQHKM6/9r8z3nf9ZwXY8WEtflf3/+y/uPX
wANn09l3v1hlDeShy/a1Gq9ea5KCvkW2zn/y//Q3/4yZvRkLoqCfXtIwW4Z1U4XPDfvGjxG0syXz
n7dHh9fq+ZXy+rOf+mtfJD4JwmFJPicqke0Pf+Ff+yL1EwBoUyf5xlJNmll/n+HZ/GiqZC7P1uet
d/rdeJ4dNWR0TUNMM0dTf/sU/izufID/+BYy0/9uQWKBJLTWlDoaPvDtyL0+iOg0RfZqU8bxURV6
U505TVgIN4R7ozByiy2OjCayLrcto/JSteJli9UM5ecW86fwok02z2URMUeNfReMAz21sLtRNb3a
i4EIyntvHtWYTUbEAN44N32b48wpeVHabAtpIDxn2pPH43FQkm7hWPLJsyTJElW8L5gQZeaAgJqZ
EXjUTTEPkVp7uGOe/mIyXSo0ILihNhVbfwAcCcFjq9fOZcNMqstBuKRROvPmGFgVfRPfesywFF1D
pSVGbDKDerSZc/Up/E7CV8XWn4dgQ2WDoSuIs4z7rWfKB30emPX5CCt7HqLleMFXHK6ibaGlmK4q
y0aN5DETK4P7NqbHl8FJ2fgxW45plsNoszCmfdPI9LNchmMkypnyTUUjZ0HNMEtrgkDMWFrkNvUs
vBGzBMeaxTjmLMvJZ4EOodbGMZxFO76KfGdEx1POgp5glvZks8jHLFFsV7PwJ3jTAHWzHEiiC/Jm
gVA2S4XGAF3WOMuHODujJIpmUZE3y4vsoprzH50RnjQCxDI80y3FVHdOXNObljMbarRi9Ytaavqy
JQjIogt+CLqWjFgblQUn8SBTowVpWmthpIDMHHI7hzEfFloVvyLp+AxT+TwXzPpTq98kjPJcIvcP
laPQ6pS8SGm4NIrkagiys0JWD1KJz6Me514p0xuNLjpUHftZZ2ImfesiSweGk0FjxQggRjBmmtZp
EcqJIJoOKkwDmM/9Ki7IBdf0ztvFY7Br0zk51mOCDMvYXqWT/zwNPVtFQZJI4cC2yWehm+FkgatX
xjP5e2ASUeS7gyQLSwuGVas2Sysdb/2hGUg8zowl/REAeyPReh4Ngsbs06UtDKahBL4x5fKZZvMn
o1lApzorayygHopZAmM4uJUnvduMQYjNfRAXltGj2K+QDowF5jMhmj1d786l8yEJW6oVsmnlozmQ
/uuN+XVvEbvujL3jelltLUq65w4D4wUKXXJkLOs19fwX+F4zTYtxaoRfP1KiU0smMe+AXKmChlJb
j4SHqSDcs5yWvc2rDw/dX2aiavylBwONIFw/nxhkR1Yen2V1k9+8LZv/Ha8lm6Ff1Y/sJX8Os58c
recf/KuESNzQKjGGxJvzVs5arb9KiE4sOuduh/Aluh/vSghDN0EvhMYsbR8GZfOo7tvR2v6EOlsT
nMnRjP2b8mGYP+4zDY1cdlq9dKKBlXzYz1pJ49up9JWjygvWNhyChD69gisD0G0kIMthl2N8XFdv
NHOoTdWVMyPOpdUpnC6sHPS5/0ZBd9RRW7a1Wn1GFAIl3VA46ZgBidpSjvoGsCiB3dKeNn7d83+0
uTeWLSrW697ewDMYVl2hOOtKlfdwlMSzXyapW0qyUPOAIUjfAnHt/FkZmvNnNavUF+TfVo8FNtYF
EywbfUtnnPWZdRZFFQA4rdoZAb3mulU2rWy/pANJxV1ZYfJxMrlI5iahMh5Gn8ym1DJW6D+7CzsT
rKFV5K+YomqbahyBINCM5qyFZSZnqqKNTrwCGEmehFeBP8ODKDmhnKI6Qw47NiQL2sZ4raqfQ53Q
YdbeixCE5ZJ9wmUET3OhSfUwCpTpNsrXHpFbHfZr06a1rjdJs7A7o19Z9oDVz+rDs8wiStnQwoH1
rxar2ihJ7qzQg6OXFTmfGaZiHoty1MtwXBi+QyknC7yBlFrqNZG9IKovJ1S5m4wsscuhE0dyeYOt
E8/xzuhIR3Lep3CNwjfzYKplSbyIoj7fVl6QIIez6OgPAxnrKJNAlEUBVAd4XYV3zdpabLooKsSK
FzvbZVXXoVXNwzPPVOxDqPeY9hrHO3BKrUFZqmXrXapt8JAEZJsHmfnks7vlnMHSyNTjIVYbf+U1
xVdU5KnbKP554gEntSP4eqiawKikX4PJWOLAgiqeomNKAQ6wzNvwtTNyB5XO3FVdaZ1JgyZ1Bz0t
iObYjzTd6AH/cSpkNYNBwpA+9tJh1ln0/APAodNsqLpe6ocOrOvZqFmuSjazdjKMGrlKhRyI+dlg
aK4kBX5ZRHDegEig7eNFO3Z5b66r0qBpolPIlZyw/mreUtlTu9GC5HHuKjeCDvmoDPVZP6Qag1df
XRu6Z1/E1CwldV6kUp+bUXqZt+2tp2iHurCwEEqluBjJ89pJk/WdRXyrGHTnU+oJGbyet7Lt10YZ
9mGC11K3zscgp0JFwaYcCNdkt8U9H+0xOzdIGSbRe2+o4XkaIPgIW8M7ZDYartQstHUb+Nfs//xd
GSS7KiLApuQh2QFS7z7EbxgR4Y4Q7Mlv6X80ZngcuhwCPTm8C6XpUtd2SlJYk53TGCu7qp7SymbP
FROQC3eWKXDbpGtMG2tGtq7oaGL7knEMne2giHZWp++dfnDZyTK9bbDcoYm5tRNxRJN/a3bC5iV1
chMJqmOeefb0tSjVK2NqdxZoRC1NV+CWNVcEw95QYjfquqfA1DZm1a1q3y8WkWGfaoLI7Vy+ODHf
4TQBJuyMVzrz7GVaFoexnNZKrLsFzxivKDhSDLaYYt1uEoTDe+nzNI43/fw+qnG0q9rgBCr4mNro
kOC9ekO+tVKoyT6XTwxSjLLhYixHV2KfzjzAfRA1gb1s8AJsIZe6aRFtzXpYK8ZsO5bhs2mTKqww
CG8dNw6I1C9y8LTCXmUi35D0g8mzpUXXJOxW/O0g7CUT8XP0n+sxCdHnwBoidKrkKyLZpnsAJZgi
ul6TvFbJa05g9MBYO7LFdkSXGvbZvVHiLp6gZOtcg2mM7skjmtPrujHXuFIQLw1X+uDcJNEEoiEB
95z3YpPq4AY8WH+ppywYXq5tB1IgFi9WuDUCWbcOYFXaA+rOOtgxHtoCKLgXaoOC3r42zeLeDuor
H3Rpm75kHPFKIQhQAPtoaeE6NIms88a5j4RGYnR9LbgkuviQd9oVXoKvKshtWYmF6BnRC7FVnG5r
18paBMl1BJa7MdRbnCucN5x6YcKm9JRuX4t2zVfxonbstarVZ5oHG3coV6ADyCjN6mVe0ufEn/Tc
t/k9fxWKYAgzY60XxKkGJQjS3h2z/qnOamZcyj5p8t2kWKRfkObaQZQKFIpEUHiliwqYWZVpbWTT
fU7b7LEpPXaC1g4x96oIdM/Nm2pLROxOoGhYTIaDXby77yvxOa+iK5rDCNwGzAQtn52zIihnazUG
b6cFU6e7zPJkX2Dx7pT2OgmtrT14R0+bduTGn3Weeghy7JlZG67TZDwV3qwVI2S9ty+jyjnX1OGh
IG9nrBj5SQeIdmVe1lV9zGrjqh040thqfd0y4OkK9tfVhC3HSM4Tw4eoSn+rR7pczQvVlN+PcbOX
lbEp2Aq3DD8jjeSrft70ZCjYstuqGM9Ume8VqQdHxWOs5zPAukbCQDCabM4A/JGh3DNqhHOqRC8I
QW+jJkVkhk+dQ2TzQLcWQw4chNxfxaH6YqaM05ryPq6CnZDqkfUWgOqMgOjrvTHNHtfEit1JqA+B
URdrR4tv0ooeaTnEm1hTT1EMCCF2GEVCUlmTJbP1YtPtpQLpGMpHR4QLrFffVUcJbxNbfJCd0LMC
Mh/Ohmx8KRQiP4CLN5XBQQPRKSIk5L+dtWpbf1Uh1XFR3aKQa900oUgMTrbtFJsBAhneodj4nbUO
xbBiTMj6U3Oq9odpPaTZfmzIaG1o2aIEXVRN4WaIdpowdsGiK2eZ1HnXkfRxtqvUfJcozWHCAVdX
xXNrzwkGNaeHZDh0OjPSVFD+3m1p/2w5vI+/+bHRZWCJlSYSY6ZCzscGAw36qmrDTDmCJQ3JQc7j
KwWt4K8v8mNbdb4ImjWh6Wxt37oc73qQyPOFiUNCOQ5QM9AJtw9D/tXXlilw0F9f6Wcb3vdX+tC3
y718VCePK0kb7RRuGEtdTdMuN++i9jHMzd90V3/66fFtojmC14cOzffNVYns2faS3D91ymPT7kv/
OUue//0dsVtms8xlUNR9uARE50E4HEpPnU4O4KYdx1USMLP3NyFyBtlc/PpyP7kjCHocWhgIM681
P5wYZqm8HEUTnqC0ATsuQexuivg39/Rjj5in/e4i8++/ex9qT2kM0+MiEFQXTXWO7Gn5/3Yb822+
u0LXTE1X0a88YQ0wCaiIUYJhM/j1RRiafpgWfH8bHx5NEYN569I6PA3MWgj4cMKTDs7HsR4MvJv1
Ubb1b674s6eDRUVIi0mpQSzX97cVhzYN00gNT1Z5WSIyK5Kd5X399V397BowIEzdhNWAe/jDR+cZ
mmLaXRWdiN6nvbiEke72ye2vL/Kzj07DPI45GIgizKzvbyTvA8sKwyHi+Txk5nnASTGaScEees+9
jmeg9y5/fcX5nfp+DsK13l3xw8MiyoLoG3XEisMEGFgcSs3fLAYfgiINJF2GaulEF6GkReP3MSWk
zvUgDgY1PUXniKJ2FM8DVIqVcRlcGW62Cte/DyH86cN6d1cf1jtMVunQFF106kyyLmgFSYdFId/+
33x2+LgFlZMp/YenZU70xxsCPU5e6bgS14Xd/Oazmz/9j08HixxvG7RjCwXM9+9DARARIxrNL4uj
L4MXdpuPoQ6MJIp+cy8/+8TeX+nDAseJOK9wrEYn1XgN7EvDuy6n3yxvP78EyueZo4xa6sOrFqox
IPPJj09ZdjQImRhCuZCt+ZtS97OvEC/bX1f58OhBJAXN6HOVMH5OFDJ9lFWlgwVq3bg5KfEmMX7z
jH64LSl0y0KegZ4RoaL+YRYhHc8qUitPTk23KavH3lyV09W/fNE+XIJe2vtlm7keH2hQJqd+yhaq
4tOX/VPP+o8zlR/WgbdLzLZK4gUd+mzfXyIahlRJOGmd6uRZmXZ4wH/zXH54lbkA4QqIqgwab8jL
v78ASydgloyAYPZ5aYs3MtoBl8cE//r2Wf3XlTX48v9zV/amTZ4qPqqPU735p761ZFWESzabTYzd
dF5nIe1fLVlIlWTgC3KWaCagw+XpfFPm4qzV5xdczCoe2rn81reWrPFpNuHOglr2yaoJxPLDFO+X
Uz17fsf+Xu0wYYhZkEv1478qIZrzN+3d7sT3yJ7L0ry9mJKcNICwfUTtTfpyzClekL81VslnQyWu
bMy9Q1jZ/dLgIORWWXeiA7ezHI7nNbr+hQPupVbCPYl+h9FiBpDL8FqI+KUTHSeMvKMroPQp3BF5
yKcSYocwfcZ8xTEbxOceYbus9XuHxESaQY4Oxlq0C0eZ1gmZAKuyJzJJVoySfHqDYRHdGXb2WIz5
bRewpOV43lzPNO+qstllQ/a5cZTPXjbuAxNNrBYeujg4p537WOd2ipzROlWa8Zw4PpMdbgx8cmhu
pMzPWjV/SEe4X3qkTfy1Y0yAXb+1nf52lGAs/KZf6/rULOV8EtX7MMG6ZL+UNISXpJif101y02ew
YW2fahvbV3novJS1cyIkEwlOOcua/ahZeT0+iaK7F3H27DX5g1ciIsizZ6o5Ls+48ldt1lvb2kpP
2ES24eyhjfxHVotuVSQ25CCTTIK+yJ971TnEytgs05F6VbxN7vTUWYclfB8St8+bGgil7gEtwXhC
W3095v0aAfOZj4vKl8bVOHVfQz16RW5yo4X+hoP+fepP6VLMZg4ekoPOd9H3FgVXRATAkX15aXb1
IXCGrwmU8yXd3U0uPOGSgVej4ZWfdd+40knXBJYU3+i+/NpKs9uN4fzjxBmuda29T5V2W+fIk9Hi
IT4lzozpYrQB9vSQ6xGDxKK9kIEhFmFsJRCpcEkKXVmYU7wWFl5i9j2bsglAgrL3XbQFTy1t0LNK
w1y2eojmaLLXZljXxAYW+9BLSwx6HJirCCgiaZtXBI5u+sxYt6Veuvrk2fxNTPFEQ5fInmqoPC1v
nIFZg+EbL/FY8wxTWfirvpquczJZFm1mr32vW5MOeT3Z2lnY44WzZJIt6tLzl37Cctu18TPmvns7
C5uFZRZfhJpXdAc8t+rngbEIt2ZZKW6uBFuRKdFSseLMFbTjyAvckN7ZAgJSnG0T9ONC6+zXNCrP
7YGuaFFHBb7fBt/xiNsYry55ksMt2MwzT5K8x9uYLkyt+YKLuEC0rppQ24rpRGCS3OsZ2RG0mh1/
l0gn0JZx3H+WNsV8VSl1EN7xMXjNUTZ0K1ZmaGhr00tFdmMht8iXelOgd0fGNkOx7NQ6KV4Qmic6
dMFJKwf/gZ73iuAKC8sV7aiLoiaeszFbwi2GhTB8/FcOjeAS7LPvGMOlSJQzzy9DbTX8AZe2k4m8
SrMud+0bfrp8Q1GDPAdLXY+IsAFV538gqyNN3se9IBUzgcXKOpME6nIwrWfht23kxuZYMRTvvdyZ
Vl6sGyVpbtLyb0RjJfWD9DofZIVGPtCyFKnpPcZGGOgHgSxfYYIzEOvxX7l887HMTYd/LpcXT8XT
j8Vy/plvxVJiDSQCl5xnzmE6R76/iyW/xTFQEqmHQphuAFvQb8XS/jS7DzXb4lAwi8f5qW/F0v6k
GvpMdNZmZQ1jzH9TLLU38e/7YmnQPdVorzBBc6SJWv37YlmVdaob5MYdi6KmDygbMuUdRumFMd6q
UbnxZtFBr5ZLr2i/iNYjMWdgwR/0fW14ybKMldu5TApjPBgT3TmDWQV5/g01ITyaePVHzz6JxFfd
UG0lRU9s4sE59Jpxnqf5xvadbRvJI1pRHZEqVabywa+iI7g2jbxdYzN5VcxszxSYNkOn+wfLJKFP
KWJvYZfGasSGNgcEbUB27YSBqauQ9p1VaKdaJkcDRQ927wy+ldYl2IhH4K2sZqPhXEIDRa8bu5nB
PGA0GCn6SQ5ltNFf+9yPDtPUFiC8uc5odJtJqTCdkaOBKGSbKrFY+4NaLT0g8avGCUXD+KI4a4Uf
r2TRQw6WlrME8OyGiYERMPniUwtmcD0hSvWmRcUMv4Wg0mEiFsASZBX38ZbgrtXgN6AKobVVeqLu
SGDeayIJz1QSMyj+Dlmggm1BTFZFTGqt05vXpRqamB2qxlXwc2OjqPQjdXuX9aQO5JNDklJtJDs0
UBcmTg8NSDS8a+8RIexNpNBODxVtq4/eK2eTbJHSZYbyzYJkABmVOREJiq5v88BDqhmn4ma0mQ9Y
g7FLM1IgdL+4QrKzZchpuYHBzMqfwPXlYe2x+e8ECUQEWIORWocZ/vspCMdV6SU6w9b4uVIz+vGl
isRDmeSVU6o2bf0YEwgObbJTgqWCfmnd9cKJyUyRKdNQL9uZAHK3vg3Gq1fseFfYxnKwdETFuk68
tLSiTZMbSbmtwIx51zahGmeqGbz4Sl4gy46ds6kISHBKql1V+je1AOsoGrnVlaJx08Zc1UFrrDo7
W9pdlu8zuzrUdfo1H7KKUtOj7eruixpzrDmFd60siVLRHM3tvOKe8CexsurpvM2G8zQVulvZEbEL
NrknuU9grXHIKOCjp9w1vQqej3zsSDIgN339aCE9am0mmyGSLMbN+QLx0Say5HliMv6Hm/eI0P7Y
ifjWGQJOP6R6+bI0Nh12ezdSy3BVRTBqwyAjPjY+BL6C8NEPVmyXD1lCsTU6ek2W8hJ64S2qdmAb
CiiqSIoXLSzuutheKgRkLSoEGU9dZawUVXnodFLE+gbN9EB8mTqa8aUZ6490RfY18DhrqvejUQB4
0/d+OOmLOjeOQ57LAyDATSLKZFVY5l4bYG9XeJ0UGVwBgW4XWLUfpXUTKyt9tPdFGK6djo0WFRfn
JkGcYWcR5R0nl+ghFFfm1UOhNMS1tZ6bKdMpMJi3sw1Yaj1xLWG0UhRzO83iCCxVTEkrGvtQqBZJ
4Bwsx2FKGh/DlJ6RzlOXjD06a/A3cTo94v1s1k1auaa9LQ0GxYkS+S7guvO2n3ZOEX5hIk5Wr6ri
buodNH7RdZMYX5yK8VY7AIzMSuvOV0gpUVOPLzHwxoWG0RTWOTEIzpQMmzojAeWPVvJ/B9S5RP1z
xV2+Jv/jIq+an5xR5x/8q+xqn+gWOpReMAqMXulTvJMN4VJBU0THzdE5Iv5VdvXZxo+/X+DWYsKL
cOivsqurn2AxzKAE09Tm3Ef5b8ruXFTfF13dVg2Ozm9tTNIgxYdGDJzMqE6mTJ6yfNiKOIR9ELta
9zs080f4AncyN8nm3AFWIPIJrA8XUsCtG3YQ94gxzHiHy8LWV4z+z9IQdV4ufeJEWBCWapMfob2c
l3Fxa0kYvUVNjBLa0AY9nhrvWQycpYbr29VGKqpiUOhJqrnv64KsJztgPq8VnhvUyXXBBV1ZJKdc
ENurWhlBQKWENap0s2s71RfpZO9LrKv4Q/iqqzUJbtiwNS3O1p7ZrfHbEucyOeqyxrteWPpnxbYO
jk5oELd5j2WfgeNgXCOSv1LS4UJRjIsmFERqzFoL03Z2ldNd9F7qr1Kc7Z5PlrnwOwKtAsLa2665
NDiB93r72bGrV7SUj346komZwm4AIrpMRrCnlbc3rTRck+21NR2v2tRgil2tqm5hrW5Dm2qDw2CP
QPlL1gfxukuJdTQ7whKS2XevtD7p5oQj4k6ZHlUC191Jj466Xa1twMBsX7RlacaPrcXMvSbVCkw6
CMzxyirbjeFIxLhYFJuuTvmHaqAOmkx3A2mQaVQk1Cjiiy3n0WnSlSB9pS2pBnWr4/IhE8s2UeBw
itrEVvvVHlFRMR08KB0ByiJLST5iTKda44XsW/SpcPn6QCXGUE1OZRJEa00jriHVD77v+aiH9Y1D
swOVM1tCxSQWrCidx6wzCLyNr/JsGpfaVN8Rwjm5fo2eBWfNdd23O9WIOxAF4hnoFn3mfrxLwtDY
DNqEsyozF3UQdYzJqxc1kS+yT+SsSN7iUt1ZTIXcuO83aWxcptSkwcrNc0tjdG8m2fMUFfeBxQkt
NfMbs0NNTZpkvO1bbWNZHJQ1b21nukOodYp4etDZnxHpUD5lDMOr9WQrRCoZJnQPVQwxUSujrPx6
q/dlNvcG1iq6soVaVsMZ1BJ6/ph/hKcSUa29sAvZ4T2D+5tX5A9yQL+L0ZbF3J2K7s0Imf63gxou
4whYQqFv1S6+aIS/Gu3yyTPDKzVWXokJwYDt1Jc5b+PNKLsb2KWNOzj9kh0gEe2pka6yvju3qwQ5
FCdMBttskki33yWt3z+YkVWzSSwOfig8ty6Gre2Vi0CvzwugEl1Tb/u+mYn1SH2dCCGXYAyYs3Hi
K6tlMcn6xj5RlB0OGZCMfhCspmFMIYSHL2ZPeFXURxooE/UqaMzNkDev8eQjZEbxnCFAIZ0qvbF2
ARL3+H+zdx7LdVvr1n2X24cLOTRuB8DOiTl1UJRIImcspKf/ByhLR9axfctVf9NdSiQ3yY21vjDn
mB3UbpOo7kR+mQ2GSlY2tUydXjL9FiLcdhJiX5ULUYzlU0EaCLh5nykYfA/sUQPsx17VUCwy7Ijn
qt9oxMytZQXJWNjrLwtWtRvLgTkMS0x9qDZCKS6MeZ6bkjIhnvSHrpPtUyUlen1XJr0X2noTbEs1
V7LVTxfM1bdz+ecl/kIB/um4Xk5RrosFAcw6wJCVpVH7eaDYtq2mB5M5XQ3gv1x9E+zH2/K0Swgm
fC0eUa7vNC9wgwNeYuHjVdv9/ffnGvvvb794fD85guavIgLCUIxeMsV81VuvVbBzQKQ444tU5u4/
/z743xncswTVUcj+8cdEfYbAbeznK2RuEZa9LHtnkAIG5f/4Pn+8/b79Ovl9cgcqMhu9T2PhT/PZ
utYrA0O/fGUah8a84GPg/fv49z/L57rkP1fs79/kpx/mlz2BiGS5VdPll7ZuH9Ccr/qt/Gb7NsCz
U857zL1pVlB91+r2/mz7mXvuMbw9tKtgdZ3sB3fb+M2x8/mPPnI7v1w9/P3rU5df5q+vTwdVYWkM
0B3j1z1GJuZZKSZZuTLc8Bxcw0g/KY/hnlmf5MFJcPfPymb0zvV62GJgyg9gCq/RzawH93dw/L+F
5LJi+OtC8oK1O/yTKnL5rO9VJJsOHRMZgyC83ZST/BG/V5Hkd1E6kmulQmEyGGH/qCI1jWQvWKTo
SUia+GSI/hjeaFSRFJAMdwBM/dMqkor1D28ihj/sYCBROQt8is2J/Ut5V5ugDQZGibhIFABwc5Y6
ngIK7yCNtXworBbUmyRP4kVPon0cTM94dsk2tJKvWk/GhzQwMAGmnOX9qtZIsJerulqNSUwDpJpR
+cA4mDwU1PctWe8RFDkJ1IDKjJ7Mep3Al/dOyEGzVguDZJ+W7rIAb1IEY7KOBHPxVZeR00L2sA5O
sEmQn04WEVoOfVn7maqVxhUJW8kStjU2zYdEFAO8EYK4jDig6CCbi3T4CX8ScV2SxhAB6S9pSBML
lYhUr0wol4qUr9aQGdcM14o2HyNSwFjWHvUy2xGdvhvjYObCb5BjM0PxyrYXPluZ6Fjp5kaupKuE
iPKbKrAP3RI9Zi4hZMRqwoRrSy4taUhXk5kkbsNN41OeXcauvUgpid9DqEN1hCs0l+WwikLLdFw6
dYgSsTY1H6nW3caZfEuLkhten3XFlVSn80nT0zWq2XVYmdETJFPP6kBotUGOCA1AtFZGH0wCEmpo
K1yppe0KR/jOpOW31F/DurJrJu41ulLsjZuiXkLPsBrg0BndYLZMX1WK6NKHMNJZKQlXM9p1N0rl
jTlgjYHC3coTZZojChYrDOVi6QTAct2bCrYbUen3LZU3dGhE3VNmr5ncxW5G6gXpZg2WLqt6NgJB
caFITL0AV4Wt105NsvnpUfyTK/eXK2LJayEOBscFzA8VpNqva2Q5GuQU9/JZlaNqrWWD+kr+iO0N
wKF/F7X9e/4ti9m/Pv9u4v69aeO3PzkCl0/8cQTqv+nwlfFqyrSrS9bBjxMQnybuSSyUnD/MqSlb
vo+vMeZwWHLMMVYGsvxzgqH2G8t7zKC87X935vyDXe+nkOk/t+hyADJAXyI+HNOEx/Orni5SaUV6
oamnpqzryjpKGXJiSMO63Oay77Byg9ugaqkfmYEi0G6Lea1Mk2IRg4SfEJV8dhELLmDIR2lnGIV2
Emwe/UFti0MOtPl20gCNiVGvjqy6yq8d29K9mg/pra5An9PLxCm8brTeAzVmSqrbwZoMqyX3BsvO
C0WI7GCtgOXagIbQnWyTqsrgz1lhfOl55j4kLZ5v1NZkIeZgZcQDo9Cu2g6Pmln7o5qoriEnuRcT
VH2V5yK4U5Hz3YhKyqJbOTHSsN1kllLPO4aaNAINdxItIX13qPINYSugbu+5yUiDmwa7nF4RnvfX
TUOjw3S4UXU/mDEJnJGXJ6vciOvkXkpmA55En1oWzj/2eO7QaLQGRo9sKBVC2+l93q1mqmafiDWO
xmlvdxXYq+UekPvGMQ79ckUQtcZtkS8XBxAU7hCpXu6TKS40DaoP8VoTy2zHL2f9Zlba3gLGxrVU
cj91LLz2FcFI88nA/bSzazvub8jvUdZTYxSz5kW8MYdT7mRTIX07ff49EZYC4q9PhAV44743xWvz
9qe2vOWzfzoWFI0ank0U5m50Un84F2yUbHQQ1PZQz5GAfT8XjN/Q7WHfZulkstVaGqnvay3tNxJI
OfM59LWlevpHyaZI236pjEAuscsyLbgktG/arxM2hwDMinFRdJZSW/WN5f1qk2ixY0ZTv/Sfb+eu
7mgtTdiMkADT5S0fDHWb3E9Jmqycz4eiWJ4PkgRD0gfN5bkZPx8h8e15Csd65ukas54Zvlt/e/KI
GuMxTD8fSR5+hgub7vNhtTtoyI3BeNotJAsjyRzOyV1eZv29jmdb9TJSQG8jFs/IDBOoMhUhoXNJ
CbXFIYuPxhDWQ6FgXwBT0vUPVe7YDJqNap48vZghBkttXXgpAN4rLe2rZy0HoMioztjqDu4wV+mz
4GLJSmi7mZ3EJ/Y0+GZy2DGhZ8egMZxS3RWhnHu5loiTLFn52TKL/ianFgRWm6q6t8AhtkIKDCJi
avtFxYY8e07nlDNmDmGOLmmihsUyIrNuJIUARG/u8ngL63f+mquS5kehPrWFN8mM2gk2cYykClyU
E2m5s3ut2xgNf5DWj0epf+7iRlFWaR/0SFfwvhUwNSJOK06efu4rdxq0eXa2KF74b1PVhBtL7mZs
GX3yojlFe+1YrQXC3VQozCj57shwOTtaWw1XpcRv86qQwl5eha0MKjgMSlHv4NeJ4GLHavKcUrve
jY5g6uKaSwrrUMhxtpU/A1olewlrrfENj/vcwq33bg52+M4Q1tpgJw/WWRwBNo2XXNhWAk2eS43l
p3bcPgEXqppLLRHwYn4HMf17ci1Iqb85ueJ3bHGcTp+MjN3b//7P70Dgn04sdfEEc2aR+0DXBlbr
PycWzF9QEEQ9AWrHR/xzL+cQFUHZQxf3DfrLF/x+YpEPBX1yKVOXBTqD9n+yEcDN/MuJhUIALzFf
C0e9qgLq4t9/morMWpRHahmD7bWBBgb5nKxM5aUM36ggSFChHjeLY2xDHIgHRz0OFR9vVOtiMhcT
9BMkENwAmn9p29mDOMjSKY2eCnxG1EU3WsGoDAwCvvhnBHicJkDuZys9dIbVYjeDX6+G4r4aizs2
8dgSHBl5EvokH5/qM/e4j8/6YEyUCEr9OkezqyTzk6pLtYdCeh8ZxcoZE8tL53jbCpRwSTE/KaG1
ZTiOHxDJ7GhFZFYW97NdHp2kfqKuy3FJqx/SUDzWjXhIFezGujDWEBHWszVfxQ6hoPxkm8pJhDfA
L7TjziTzb/ENBsOu+0w1nlA4Fbiha2ndtD3s8dx+qAeVzUE3WTssgwoqGf2QyKwNkkHaokjVwXYx
KhTStCn1cacSFzRU5s1QiRs2qc19ZkyvWVWlnlnb+zCSH+XcOMBOzr1KHk8os1COhZa0MpJi2/VS
Qm+Eql5vd6YDSKEO4Psqb21RvISBuJ9sA8m1zvh8toeXVG45i2rtlFn6u2ZBMcPcfv95ZQyy3nuS
TjQDtkvOtp6M23Haksq5se1hVcFkFi2/szDMdH+YwoS1dcpF0JzJI6T7D6ykBBKJKO+AKnACCF3J
3a60QTB0ljP5SDtoY+tSbqwVtSqHKmPNznmF5D4wyiQTxDdTnHXuqA2T7gH5bfwpI08qjGrypXXn
lIu6Xsml9rWIyBGWAoBK8BnRMKrAMLVB9oe5/WoGQvectP5Y8KjuFCT+VKBUspSJRCQjvbHmisBK
zTpLEaD+Tq34GlyGCMWeslF/LuwRZ9vY31YijcCuERmk18ZbUrUf6jS+z10zub2VPYQoa1yGIye5
R8CWtuqhATu5SoZOW+lGfzWqWuhrTrrVo+bZTo1urZE4sTIC+3nq1NSl+2dZZA1vra0ObpGh4Jpy
glgK0js8OXFIYQmlcwiv2i9CYJ1j8qaPLVnNvF+K0DPS+WASdpmU1TXcjWgVpeN9RegKAU/hJouI
E2AH4Yay+RhUebYx+IitDI/hXF+TduRNOo7loX0uDJYMwSTh9rOsOSb8lOWxDGlGWoJRkA3CHo1I
L2lGdHkDf3E8lTdiKsNdyvppNovz3FRY7KoPGrHGy/Qe+l49pc03zf2/98oyTP/re+XuPXrN/+Re
WT7reyXM5aGxDmYE+APw+L1DVjW0X9iJFnsZt8ty5P9eCQOo0A3uDhslNHOhTw31f+4VemcqZ2Z6
SLMWdsU/6JBZev/XvWKaVMF8L6IHzU8p2c/3SpEh0s94GZfeidLWTzTtnnTkbVIU0l5k4QqCHQMy
4mjArordOEyKC2TYXCm9s+8MbJ4V1+Y6TKY7WyrrjUjyDAIxIuHSzFeJqL6G6qgogNLFGCB0LYXk
a5J4aGG73Ew5njqzMYMjbkFzl4wWweuqxgSyb06GqhPiFqrRerSUL6RdfMiIZbeop86NigvLM0vC
f+KRU1kZr60+Ma+JX82o1QcgelkhEKqYpNw46HJCxKDu5FTAKHhV9piuk1BIpIJZwSrJY/LRRPym
FOoo/LbnLu0KXPomLCI3rMAedTCGiRcvlEugIgQbRcHH8DRtLQVwcsW3n2P0rw3VM98FPe2sOfbS
a9e+ow0c5sElKSOeQ3XbNSySyZV/7TINqEEI0bjsesPtAyzKpGMTZXHoJRmVnaktsTX1tJlZwLqN
AMbHJtdrGFWsZFu6r+b21mmabQXxfmfU81UzpKxbTedRq62vZVOeazT1+FqjPcafKzqLu7BnMjcM
jd+nzkdT6TtZOCeDoF5GnhJr30K3NlVWPiVDtjeL+HlMutabHOljDO3FjIxKK+tfDMwUVWHVO0VH
J5UUHb5ok19Ln2lk47IzPMZMnd20bmM6gPLKnpKHVLZyhijcf4w2xpWEunyVsx9257aF4tQ+2+aI
4E0tV2kY08GEcYS9rn4oOaPXucxOHGEsMUjyeFfyp88AjGiQuORuRWvTs/mViGjXxVXVIv9lUQsD
chbQkLqnnujDnBJgHWjKWwU+fh2NUbcvyKAPJFtbh4XVr81RC7y5bvFD83bdCIS1rhzoObp7pTb8
Std2wAOcDTyXhKSPkgcB9sKUAHBM2y9ataSTBIO1UpIWCpjZfhDgA5hDJteIZ7/yqiLN1jFwD5gt
jms1Dho+8qhc2AYkLpbR7AdK7QEJB60y9fiZTceP7PGi9cFWNYqraCwuZmrvJCleC/KWcz8YTg5f
s9W726oeSAaarKs0Nx8tJ7+kBWlag5ZMfpCMm1RhR13H723RPVlZJPvl2DUuKVzOqrUc0M/0Z26X
FOsyrU6qKjatlN+3odildUgMfEXqpNp6sTpdqVm/1QWsK4tqy21GGA2ZOu9tOXuO2vhsmCQkmPAD
dkltHVUnP8ddtckkDe5KO6leCeOaO4uw9JA2ltAcJd6JJD6qIj4qefWcKWMNt6UVrqkE97plPAoc
9CRv6psoLR1/TBTTMyLd8PGWMuEPLbYXotuEek4ojzmPYLfzm8EMHueA11dXbCZnNPFzx+eFeYYr
HMQDa/BdMDfvdaHpK8DmdOYIKmTwH0BQ2DY4/FrxzkePaqBddwMcHi0WE3izVvfTvjGBd8gfiHcO
ekyUThRZNPgLdKRA5JrHz7Op3QUktXkNuVVe3WUSVZhyQ7o4YQWAQUOtuFYlQNvKDLzDEZtuhnJW
F3awUlsGb5HYBIV610ctpYsEBKiy9zFSMjew8usMFcJoxdI+whIaGx2ahG7cm5O96hdhXjcCh0vq
LPPMgr1EprNtmeXoNBcDmv6gHH2pyT7CObhjZIHKVaHQ0eKo2oxR8tZUJHKUZIHI9jD7NCOqVzDD
OQyhNG87ssasgfyvuZ6vJzQgK6nHTJ+iZx+1eCVUaesE1cFxckDjVbNn+YXujQwqmoR8IrgMFXxm
lsaaFKinnBoEqdFrDbNtM6rRIpDvzzDM71WjP85WyacSDqT3+nphBfWlfcDDQaUbdNuZNxGBD2a8
gMc2k6V8nZXqZISc2aOjrYjpXtF1v8O6B39OJzKGKyvm6WwnAJ+a8lwi2wxSOoRxCBDGyyAgOE1D
Es973gTINDi5K0LJIR4BtgcNNll3lWAYohvvacdBGWsmYKAMn4pMjko3xydFG1hPtc6lceZwo+rD
Ax6KFt68nvCgNJHXq3h4nOa6MfqemnIuNzBvXrk7m1UZR4Lk7alEqKOZF9uW7A1ZIOqmaZunOFVu
jUJA1ZudewVuQ5JSJjacC7gceGtkVgVjf1TWs2p/oe0ZNw1hRLy+L01SMyq2y7c2gFrrJApVKmr/
c5EmBkLt+oo77zTo/NtQRYfOQVtNo+BplVSunFy8BYuGWrbqN/B8lyQhUjSQghTRY3BSKlNAsZui
tVM6vQ/oTSdqVLA+6zjBAts4RxZEhapC3SXF5boU4XYC5Ivs9YuGYQJgaHE7laSMxVLyklrVV3aM
MPNBCIEk3lBH8DcI+ltlwQzVPcSFWbJ2VRdxFRc6ABhKI6TiDLVMSWkvzqz7IWCWdIEYob+8jBYY
X+KDj7IW54yeqg9bKsIVzLfnAQTISqqhEoXwkdIFlFSF0pO8oJOI6D1xmrcQlfQ+2kSxbkjkshGX
LHepU5/LDGAjqV6xTPOVYDSaV7Li1NE3JO+/dfTiG/jrOnqZLPvxe/gnrLflE7+X0or5m4yxkPmM
vBgblJ+8Emzigd3aOAoNBwXbsqT/PlRG6cl/p1bGqP2NCfpjRKP+BtNBQ+aJtRb3+D8cKv/Jul1H
VWhrGk5GbGbyMsL5aUQTM5VtI+7wk0LhGdEE1qyDPGEa6SKoHCrVU/rZwkKly5VKKloxzbeiDLgO
i/CoicTiTblkGSK8luuXxMoU5WpQWpRZST9VaPj6wrnkZTfvQ01k8a7uJvUOAp1k7JRWxrflOFJ3
yQMt2KeTSW2kptw9t7HlZPqBcXLWfnWK0BxOjVaRF780nj2Z1u9BX8d+WRBPhP7ZFkRNL3sU53Ol
0tVTt9Mz6kOXaMAUN9GiF5h1i+Blq47kg7roCZq6hmdcoHVcRSO0qqZuupWQp/hgdBMB08FcCTcB
bvQq2iJyXL0OhnlDrPrssbAVV5FqvJKO8mKl4dfEJGKS9phximm8V13+ztwEYlSf1/rb0MWeLRee
WofDrphlY92lksANHZpur8px7A2pUHAoDJhE4s5+VKS48p10CL6OsdlvScNTdxHn0JF89HybKo11
Zms/sh6r6g2TgdJresaueVqMnmFXSAQbMeP0JEwwatFwsmSmXsbk1+UHWzgQBoLGOk2GMe9SHRlC
rAJw0p1oY8WMuZpwuWInO0FYwEbdKlK/sp13Yriljd3P20xxLhpbsM0UDKjF2kV5FDSo5PXxafGQ
+ekw9xjojE2pOMR2obrtomY4p9rYgeSKUMlmSya2AWIvkSr1gsEkvUW3od2QClK8J7IOuLuOi8ek
p/+P4xowVJ8cPh/Wf08tjWb570+tfflaA+j579Hy8qnfzy1GyxwHkHSXbfgfZUJMBwiSY6eKk4u3
+y9RRezNmQugUvt9IP19BIDsiLCQb1+M6fM/wlQS2P7rBIAYCbTmCAd1DWn7r2QBGpQcCOHUXCYg
f0rlqkIBvF8UdoKVhgIg1oG9R1Z0No1mw37FuGaCxNA5lG+0QL9JG/FeogxyxzHagYc7RBYiWE0c
U0pIqZ/3WaEc7ULxZ9XqMOGMX6DBHtH9Zq4m8jPKgnUQWsc2ktblJF1Twt1bU/Fo8A5HusqzQieN
8Yc9LnFwpR9JlD5mpO0Qrj9g3GYmKl+TqHkWU+z3jnzGTIkA0hyPJjxMo1E88pHujRpZOj/RKmuG
L07cnQL6yq7RXrSQQ7Bb+kETM5lz6PX6HETR2SnHNcUFSTTVWUCI08r61IzqIyP6baQoZ2eaXCkt
L4mSnJe6oheOX6NVj+T+2YnbqygSJ2TNHtXrRh/ESstMxhZoQZ2PtnEW+jL66ggN7OzYr7SObmzq
j0nS7yTS7HqjvYnCeSMliZ9XNE1Vczu1yGeDMb6EhrWFPe0riXlvtPl2ntqb3O6+ML04S3ZxZs1/
7M18+6njb6atqPFjhQSrJdWZQdCK5minhfqNFVmVa4PF66wCRls2nNC3S64y1QcSIV61Ur9xKtOL
0IW5gPkvQuqOoZr7c9jvGtTWrSXdJM64U+TgQV+Yv0v9XRBZW0cxpfWIfDiQa8/K61NsZ1A4h3q8
zkgs9svYfLV6p9lU9bixEXt64Vg9qiqnbT6MX0hdc0K3abgEV+3kDNw5rd0kW6QU0a4r8Qld9HkG
7pvoZqFtIA1hDiLp3u/HdmdIJcbsmoKUHdxNWnbVvoBV6LU1kiWmNdppNObe7ydgzNnIioAbkagm
bU5uVEVFfgGMEqov8y+l9XEVAvCj2vQKlZhXpVictpWFcM2WE09Yg74NeiDHLXF9sT7VPkHJyKw0
M13Pgv6orGrUcGF7j/sOdLFJJEWSEVNkT5U/Jx+DQT3sSOqdpAZfS1vz7Um/zKqx1pv0DA564Pjv
PYR07zinTnbSPUpoQ5JTI7DE83+FR4/L/WKGqzgvr9UyfxjAzPpYCDs3IHbIm6MF81bpX0IsAq7c
FDC52pohl+6c42aJaWJw7UhQUnpd5F7f41lKVfsdA/5LMan32ELeef0RXFiZSdCkZb5WIdiPco30
wCLBB5rSevWVgsqs8UlOvfRRvqcQf9DH6QMb8z5x7L2Omn09SmIF8v4hnlWajKw+c+fV67zn0lSF
ZJ7KLLgtqqXOx9e2UqMe4q1OYBU4jycSevkt1/mbVNpY3UZGWFYUFuskHXeBlG0Sks09Z+6f55JW
OevGSyxbX8ie+jIy8mZUwcQE8dtWM4EWWFGGPZBySa1ViM7Z7NWauglK9amrGQVyTGGwxPYYMj8Q
Zvw0hRpfXNK/xkGdg5pNXEd0XyTR+K2KXGUMZL8ugkeN0GKGZcwcVIF1j1QyTUiqp3cNMWFNdRcN
GnyBBILYaPJ3H4PgSVuAD0EVWLy/tDVe2ZoSbuARjdMJRyCPJfzelpenfUAYICwxAEErDKZSaUxU
V17v4ng2eW39vrLby5gzepxgC9q5thsi+RyhAyhked8N9ozQ3gHLKk2JK4j2TSP5dgi7g1FEd8pk
Ae+l/SkaXBe2Pmi+OUrHGLchgqP0vmHm4sZ5Zfm0nJm4jSK8OM1AdCaQi0CH+9vJngRBaqd38TrK
et0tmFBu5JmlDoDf2C3anDxnoe7Jg6bubCmFlDG7jksSaf6tRSgDDBR0/1ctcnrt3v+sg+ITf1Qi
ONiAB5nM+T8Fe/zTj2UEzZCqIIchPYE188+yHOs3pDfqQrE2ZRbhP8v1rCW9Cgmm8f8piIodhI1m
2qJfw2rwx/6pFQOrYXMaLnJ51YApnRLL/+mX8ie6UX6+P6rqZWRFFDoGPyHYM/0X1b85WKkmLCEu
rZ7sY+tBksk+vG7x4gRXzKBaZfX33+/TEvi333F5RT/1hOpoNzHiG3FJKjwygKgZtpIzx6K2DMv2
emhKe993OGTN1Ajc1lybyVRjgR4DY9XlnbVKGFa8jDgWd6YW8TjVle4rbam5mh0djTJ7IBow9apG
fuul9MMZpaeFflQSTg1AnBEUIaiTR2614WpqZK+aTMrBF8bhVk/NTQsFZm0gOkBuHJebYBoLLx7x
yVmNALg9A4ZDuEhDYXtMwW5sqjuWVSUDsv4o1QF/pQQYYoBrghm0r08MFc3hOsD2znBd25alctVH
5DTZ2M1lETMKDQ+EV7pCk+4bSQndvnjpZ23Z/m97vMJsm9pN3OkbnbFnxK7ajUzQLVLVQDSJplMp
rPnW6tBNIZVCKHRb1pG5NUmTSghl2NZsRbvrudL5gMibsbxkpCZ1uEwIRJgROrXd7OdCq7+ksn00
6YQlnYhHK96NKV2xE5wlOT1Ps/moZPjiFxEOcd24kIAIkw7yxpbBWA2GfhorHdyIxh6lOnZERwox
7SYtvpLn2iuC2o/H6ThM4xGIaOl3cy57oTEc2l5+rIEc6Dq+p7yY740MVgIjUSjmorgq0g6DN83d
nO5l4kXcsTJloKcwburRxvPdpzJ07WzVJtY9vT/bXkkO12peiZ0QQ7fJArW9tuN6OmYTs1ZW14cs
53ofLnpk37SiIZyd+YQbRc1aqfJ9kMVXopBuh76As8ufpRyzlR2zoMi7Nyui71XM5FqFheIIDIjA
9XxHXTKrputOMKVt0SeYg74Zmn4t06x2pu3mCguGsrydC/0qD1AGDGPbu12W9jfjFN0gs901g8Bn
Yz/pGNdGy2juKlkiHSluPgqt593kMC8umDYwyCPV0IPn9i6T9VkI0691JfE4wXZqviRXMHo2JUbp
QXhFSMRJNxIs2vlmlI1VZhUeG8dD20JbR77SAjAyWukM5sJXB2nHQXE92SF10hLfi39rXTvag06g
vMoT4tVLqimI3mmbDsARmqxYVxQE9PLSPm3nO0RisOuzjiqqvE162ad0520dMAURtvrqiOQ1sexT
SbSpOyZgJIYWZULQQoMygt7efh4z/zbgGr3q3zfg7vuiq/6T/pvP/HHryQwHTUZ9nPmLFP2P0i4T
gzXTwR/Dwe9zQxOKGXkx8mJFg13JHPJ7+23+piAC40MmlLN/OjbUrP/awOO8ZqrJWJMNhEpSxB+v
iFYwPQKuIBFwwnYxK3d9HCyaE5O0YJzXBN9OW6nVeUSi/FqG0+H1cVO5Q50+DhNcoizpSB1SclZb
oH+YQpSuOsChqmvQZbCgviBefyiT8aWS69OEPJtK2D4y/WtWeslBXbHxpxnLlTzx2ZDdoCqvPaIQ
vuL58HrLZPqvydcOobfuYAeG2yTNozxaH6NujutkqG5zNbm3lBynSzqjDZOsGWs1Ei5RCT9WKj9P
pYGFe1VhLpbWRZ0K7CHNZkiJHdcDnvlW5HuiD2jh2FKxZBqMRPKDUX+psl6arpOht/s1IPOBRVu5
JKyQuCRXo6ssUSxOBQxtCWeplpiWfglsUWVBDT9pq34Jc0mXVJcl3sVhoZMvgS9CTt46EmCCJQom
iAmF0bozQlu1LS3kNkTGDA63FSm+t9YSJ4P07CVZAmZGh+CkaWTj3Jb9wQzadl/LxZdajZKGCOao
lFcG+UEMKHJdva5TDPRFZBHrOqV3ctSv8FzjbRpT2R9l/anQywfEByUmpbE8Eq02eZLlrAqLoWBY
7YqspCJpN3kTrTPH2o9G8ITXgglNqk1AlZO1KHR5p4glXIife6WxAAQJx0pZzlDA83oeOeHifR9j
Far49aExCiRwdFp+CWz5LrOzfk1ZDxXctA56HncpGeZ1TNixpGaUCtSRK2WwT7M6Xcst0dAycCo/
ITRn1VTybQhqPqgbzupGu9Shs5ZGlQxk89pIrF2QzZu0JwBYnlt8x+FdZ+eX0ek36qiiyJJpbHP+
8tgeosQQOz1PHg2rvGP7txkG+yGXZgB7TbsdRXhXFfOxGeLbJhdPcadsFaqqBXlVIcGjG2LJuxn7
wcAebKmoRaajWZTygT85vY5I3hNmEX3Da5MmEHVsLzHtq4RZzdZGm40XtclXwZKT3YnsNIfBTW7U
1W5iCnBEFHYbi+FLIbWrvL1rBLt0p3auwyjxK+61opr3jak8yE4ygFNPNm3cbGP0126J9ixu05dc
hLBqLHO96A1dra78qAqhy0iMvutpeHUCheVfTl9vzudB7i+oORiFDIeylfxSGX3VNhAYyKZPotjt
HEaXQdERRA5HAgwfslpWVrI6rWtWe16cSudAdjboKIlWRpaBROVLj4xhBQXl6ITTAEstO2QZ/40F
9tCJDutGvrNDcewXuryez+SRaATdlwa4dRvf/VohdQ4lslTkN5GMZwebf/ickChVGNjHGkP+mKV2
i1X+uXWG9eD0+Nl5CZr90rFTy4UO5Q1Un6YIr+u0bRNWT5Nl0fPnzBEG3TzaqrixlRoK+zhkUGC0
p1g0O+5LMhv6gFgY/VojBgIt1LVa0ObD7jsZ/RB5o1GwK2/sHWjhbZRam9hOHxM1PRIocm8R8OBm
iXzTRboPb+IUFfUhlcVjmuu3TczfIq/6r1ADL5rcnOJevbDGF7twwgaUxP02UxmDOeoNb5J9KRCV
RE13aQNoQxZVuBD9Uw61gvlKtu5bmdZkOFBBHSSNSIua+kKf9K0MEbZr6l0+D9uBwYMzp8fR6TZd
Nl93fYpPj9mYpjWHseItayMMytvsPpCLl5T0GnSNu67R38lK2EelucOt8NC38a1ht3fIlDMXiPe6
NyLYNTb1bLVTciq2OS93gPCOhG/tC4Twbvv/2DuPJbmNtIu+yv8CUABI2G1501XtDblBNF3CJ7x7
+v9ka6ihxkVor5UmpKnuYhGV+Zl7z7VGsguyc7KUn6dcPIY5q38bu46lanOdeubeGZJdWVW3LuHd
iR/8+Ls2+WjINRjmf9Ym3fv/raGl/gd9oH7pH8WJ9RsORkuDnVkSUFf8qSWn/HDYKLosFLWC/I+l
pt4AoCikG3d+xiP+szphDSqQqdvUsJZehf4FfaDzLwmmtMqBLilMSiAXFzrg+D9XJ74lrTxvXAXT
H5MsNlK2mKMeYk0l6VOTtI5jlO1ybiToIfhcGNJ+KritCp6qgIddcYv5WCdS17hdDMQWzIrXOWFp
N6RsMD9PmpeZuzAIK9gkLVN1EBzbgfvSa1DNYdhgxKivUZX695MU3AoNjA9zm+MKVRvU0+bWIhwO
ctjAF4y8uJhspTWUGaons4vRCoTbJaVesiQiZ9TOS6S48HQGXa/T6NApXyc2Eqt5XvD3hq27iXV6
3TCYz4OOs0vn7ajz7TrQHGvvI/OO8DtPp+BVOg+v1sl4/ZB/zCVR5pfp1zBhbjzrJL2+IM4hJ1yP
fig65jpvj23LVpUg6ZBK52fXNcabKGEnGhFISOBS+sziEGFT3lmw7tJbZXRrHeG3GhdOE69/apLa
wwxUP3u+vK1qbnVutBtnSuqdqCM9Tyz7TWnk1Xp0mL+HxGyhxesvZHmh2JlVvlsGY88C+OSW9kuR
DuSeMsONRmDPy2gdfAGybM6SbwPDclku18WGT9OD5l0RyfSWd1QQvdKEruoGgQT0NhMTt4R8bSzs
bJTOdmwVlJCqS8Umt9F1dt59FpHjIkZCiexFbmunCHajob7Wto2dyWyvNpoipzZgqhaQ0ZJbRiZn
IRZSN5z2XA88M1Hf3tWJh5gs46MxBzInnZCwM+TWbdrv61pcfBfWDm4jA+VIqtjulpusMvZNahC9
q9rLwkZ+5TYgxPrAe7A9+xIid9w28zBRjSAssTPCR4Ra8DQ7HRm9yBZXOUqhVrZ4faZ4N6TlRTrR
57kmHShHrSNb4W3cznxxalb2KC83Vo6mve487AjyXo7WjTXppcnERD/81hCHQPBGy2fYekfgnyhj
Pfem69vbRLW1Ad/Tz5fv85STZcTQOsyqlwxIKFlJANX0GqDss+qUduEnlXG5uc23oJrZt2PXXiRi
Ro+6ZCSpFLuDaZ9VHl8TpU5T2l4JuLkbyixjTYXILI/68ehF7o/FM3qmRKNw9kkf+YgTymF5tL3l
ImumLlZOgJrUk5hRePxeB4Eopbue1RDRcxgZ3jTup1bPcoo+fC6ZIkBOPDeaxUqSFmNooTW0d/1i
sythaj27/T2HHZNtiMKg01AJYSGPGCaJtrvBTagoPLqzYtzkW/46muXjUgEA8PREKtazKbuBpeYU
frkPpcVwRs+wBMMsrOjyUOv5lq0nXeqDpNTz5JQVy55ST8QKRmMBIzLfKX8oRmaFnp2BAnhZUGC4
VgbaRs/XXD1pM5vIJ4Cq+hJgaLuBeXlJpoBjwjTvCkUj0vu1dTuK/LuA0bg1l/F73xrk23nTAw6J
6ijK4bOlil3tmG9z4l+CvN6FLWHvZOXBaXRaZ09t+1riIWPPw3whmBnwq41ZNXdhQsopBf6iRyxu
HV1Tn71O4mUHBeTxhOLjOWCRxm8e1iJ0niwTzVjsqnaz1FZFrZ9O29qwLxNfgztfhQ8Myw5T7iQ0
BUOx8nN7Zetov0QJDMR+t+HPiuo5a/FmJPV7XONu6WaQAV6eb/Hp/ZDh1wSfUNuJh4zPhHvAgmhJ
gGqXB3cgiImJMvhbHDICdSK/WQ3LiBRjSPeYQ9htpjlTzw6yID8uCLJ64+rkI1deY+o17HPJcHYM
C5OQJNXKtaeHqaQeLCrcJSqxNn1QHsIJqhXzNIn0dkKPtskCcY4RA2E19D/TnSRHjmOCf9hVSHKe
jLh+tBMk58vcsMX1epJGLZQcsv2agfrCDUkCoetjTKzrCw6nhqemIqJpusEcnq4NgZYd5bibVddR
VfmxssZb2U0PJmI9IxLzDnfpWdXhAQri+BQvc78be/t7FrJMI130voj9dLvoPuzveuqjntI8of9e
T23z/9uo5v3bfxj16Bf+rKYAzGvDhDb+f8jA/jzqsRw2FaGwPdQYwS8SsRAfBgsRSiZGQR+Wij9m
PQHqMfC3qMNAEqB3/Uu+Y1AGf1pA6GqKnwMoCqkFaCN+7p+rqVpGOI+tob016f1H3PwoJeqNgUSN
o6Zt7owlkocSdtmbi3gd91eOW8A3MCgU6JtbYyhPi5y5fBeQWSjUX7M288F7B/O6wgW9WxxSv4qE
CwxGXbPunF6xTAgHNprteJOmCM468GpiCuKTV/nPYVsegXyVO2+huvNddQKdJA+N8PHPTa/R6BHD
llaPUCvhrBhJeLBMYpac4WkS5tko+qsiGZCYosjiwExx37vMJ6rRuMnHZD/XrM5Rr9KK55+izj51
XtWe47F/NBEs7yTz+jW2JczTk/vFazLj0HVTxbrWnZGXTt895X0nGiDdtDGHZFsPl3ASbyXU2VPV
U3BBCXm3h/g+ViNTs7RC3ob6na9yIAafiC9PqZcpneGkmBY6+Ejt3cp7pyvcSZXfFxEeKnzd373c
2k7say2VV3sca9/8ZkRHnskDa2VG2oOLL2Bclk2aGN62N6ZbYuvEKpH2SxIFl0HgJcAACluXo5KZ
wOjhbyQCZBiPwus+F3C7sX+z2ehZ0i6LM+IWnF+CPB2Du6kd5U3VTQtOFQhl4U1sVD+WPnaZQw0p
o37scgrNN2hZQKFFkkBeSNLwWNUz+X2Z/Wwl5FFVOqHbDjARykx8WqhaKtCiYf/Ue7m8dl1ZnRaz
aMJtbGQHksK3I52xpRSDL0QxKyZPLSOZ5CUZuZCjmBRPYXTpRkga9cqrpo2rSIg1DHUnCcZceaBo
gUU/+QYX65g23/oeTmXunZy+5COesSek02vlJt98UdxEBslmpVUTK9RAPPWN/t0p2nmdOuITc6bP
0A5dqnN/P4cOQdNxerBN+Vj73GZQZXaGLRDzaywu6jlMpMzZshsv8i9Wz5UTzPNjsZQ/8G+igqes
A60/D2t6Bjw1RvrV8ow3F0nFHE8PedzdzIPx5Brx5w56GczGcFX3xrmemqspouepTM/ziIGpjuwX
WYhyHTfRUzT55y7lE6ps6exEBUYwC8JraTufIn98Bt/Nch3sPTnS7KX8xPyCvOJhbNKrJHrAjhCz
BP6g5zYPAlwIG47kvmmto8fdhfHqJKsRncF4rgyXKL/uRdMjZeleB8e9jZPlIJqCGjuBGtDObySs
BvtUUuRkuMfXHHPVStaY/sOZLPFoYqHOdPitaYuTCIdLJpA7mstLX8YBn0ckEBOMR4r/hCQhZa5A
Dzy0ifhCXHt48LOcYZoX7LGCim3OBInIWKW1GDr7O1wOi0O1nlZFeiz9aj211i6wsTLoE5dTikFW
5gx3CqgI0orOpCma76U503qZ9cHkI+BMuhezd0n78CvDdZ4t33u2PQfoUY2vpp+tFULXeKP0Edfg
igEF/GiH5S73Y+q+CgJ5W6tTaLn5ocAAZOVdT5Jo5609nrd+kY+W6Xzxi7zcSDu4ZEMc7aU0jB04
1QfLF82qliCoZ9v/Yid+trVwv60cr9rOQlduCRUiJ+kuS/ofTbeQhlXTEkIZeCqTgV7O8pOvVWxc
PTUMW9VyRiTJ6xgPKP/jQ+EGPxjjEsNeMr2PK3OdgXGCoNS6bBHBmBavhTR8yTAVPFXnDWoLP+zs
Bs1TOKMHaQrfZumlPtN9hNvKGQT12PIWDeg+/aH9AjmqXi99Q8hZfo2ldSvc6PPU9j+sHmWpKJtT
jrCGdM9823fufQ9Kqg8NojrNRvHnr7dBPt2YRkPacl+aK3eMSJlY+icxmYckMk+5Sl/SAZB0huKQ
d7O8hdl0aev5pXDH+2pM73ge+BCm/rnIrOvixuaK9HPsS2a5731854y2HksxXy2PcPYpPTvm9FwS
BRw57p0n200VOuUq4H9MTuxv/BwcxOw6XHJeYlMidum6NO0OiYq3Ibn5UNbloUnp//2i5dih8as8
QYqFheIEg1C+h0hzXJbAPBoZWuDUg4mesJUkJto+wk9PNmGe9lslqnKbmbQjlKMW9SHUVpvsvr+r
st+nXIjs/3tVhnBfT7mQQP/7Bs7hlT/Lsg+Zq2W5WGApsv6c0m7/RilEcInQ2KcP/+nPDZz/G8IA
EDKhz+SJuo1i6ZchF8WUHdACmsysrL9UlpEO9W9lmYk9F8c5kzb0rv+ackCiD9xejlKCefCsQDFv
No2d25t8Kl8TfJxbO2V53tpAfnOSWagaumPtWj8GxhXYYYvxNGrvHsOedNOZ/UGSrOryeWxEg1JD
lT27GplvUz/9MkbQYS0U92gfmPjmHQkmPocH0N85vIvr4tlt2G7Uo37Ws+VmzpBWyk6tzeQ1SsUT
w5Hy1td7HKU3Or3e7ZhgZU8F657IIWAgC8N7ZiQkn9GPsGjrdxJO3VNJr4Iu6JxW07wzp5LE1emB
8RE4dtqb3Kivg3bKOvXe1Q3QQCdU+M1jrFujZlaXVjdLshP7zAzjdUQfNeuGSkk5bH3dZAm6LZnU
j04447GkDQudZtU2TXLEL/XZsmIfMcB4HWTNUmORBDvrjm4qDkTrEl6S9fEmbzJoz8tD9NEH6o7Q
171hnrB7KmgXwa2fQt0/pjSSCw1lqjvLRPeYNIr7UXedte4/Dd2JWron7aHX9TSpQnergrY11/0r
q4gHlJwPqv1GjOgPnx/X63430Z1vbLXvMbu1dau7Yof2ONV9stAds4BYBZOnYPlPN+3RVge015Rq
6q4urEutO29T9+CJ7sZpR+w9IKwnR3fq2RDCuXafK93DM6FCxktX79Hem7rPJ3tgF9H4t6q7I7ll
0+XmPmcwoPSEwHKT11DPDEo9PYj0HCFkoLAwWCAL+w3t547BzWdHTx4KMTwwYkK+wVCC3zxtJ8YU
g55XlHpyUVvzXapnGRFDjVBPNwbRfLH0vKNrLBvlI5Kj2Cj8be2D4NnOJdeHuZBuh0QJiWB1lYNB
eLkWME0fWib/Q9ckKkhprhcwkgrG0+CKVRD5uwYGsUbezK4YNyJqPoVAl9fOXKJAqvgVqEtRsR6a
cW7XvctHHMhobxTx8iwqZVFYo/Gm6HoMau/cWfP3PK6zjZW5DyTYy7O3DNulGEhNQhEdphz1nrOg
N4y/pUsVIhf2v00+xkVButHGHUIiqa32vqsVH3FzwQEYbKj2q5PyGTUSJUCIhbPFDOrwhAfsqUFg
Y5glN6Mc5bxLrehHXkV3eTP3G6foTOSuPUEDPawLrHbn2i7N7WJ69UH2y4ZGb+NH5WlMbYyDkf0p
rRBn4oDt8Lsb5gXjoPvdNKPsSZlOdciHYEZ/ncekFPx9O33cTtoC9t9vp2M5/4dxgX7Nz3vJconY
YV5AK05iDi6wfy5fALhqcKENTodsZkjtf1q+eIwofc+HIBIGmtvw817SUXVQxUggZC9rwYP+K8sX
64Nj+Su/EEMIpB/eg827gAT8L9IQEeeVJQe/uxaZRwaMypPNpAonwIT7O+Mq+Z145cSDCf8qG7KR
e6ezLcoem1x1vmYJS4Zai8JuaTfxCYE6GN2Ghmvy6p5DNY/FHhxgAcjAcfKkvccdlQ42e5FQlZ+X
hmf7DsVk2JQb36wG5zy57thObLDrtH33Ia4sC+Vs5LfmepoavmHcbnGzT9sqvBB2FR/l1KClG0fn
uVZsIAJqxrpXmbtysrTYWPU4nIkFnXd2kJRXP8/6B8vLxi8m8JOKrj6WXwanmXZ5y2qAEajC2KyY
iBqus6PDiw/AdFmYBFyY9+z/o2PbK7wMpT9eyX/Xo83qh0JGjeTatpv3IEkApnSOjf0icumO3LR7
sse6wE9Vul+DJQ/3Q5yPNxImWkQxjoPdEQ/BYuYco5IbG/m0gzWghUXbdQYtvjlfG4Yfu4zYBuzP
VlWtSITRixlLfGFw3x3qyKTktEDObcIwtj8LHUkWLwtJLpnd218yp3XPGDXkcc7S9g0oqwDIY9t3
ZRXKzRIU/W1PpBofaXmsYaI+WsSe5+vUNIMLiXwhM1wVX2cd9SZnFyu+joALQxQ+Kf6S61In7qGo
y3QdziSZxELOXxHv5Dd0Ae1LXxCk1HJ2Ml9KbBbSVo7lJG6z3Yypmwel9u6tDOVOUrvtnUiQ/ne9
qc5QwtlJELWH3X1h628Eu9qdpx+jg8A+qAp5mlSCwAY1iHFJIs/EBdmCWWIwz9y4672beg7KfSV7
C4sMT9HkNlzBC1Gnp7wxvBf6l1fGS/aNjZfjlrcf7QzW9xeuHL1Yb8zbeYkh8QdjepRJSU/G0OLi
tNX8EOvYxqEd6+2c9NNWDku0a5mByd8FxX8r78z/qbxbv+fv4GHf238v+/ULfx6vmqlmoahkcIqz
TAd3/lNujicudH/KxvVB+cduW49ceZHpsfLWzBz+08/j1f+N/HocagDXPNI7/9o0VugG4hdxtp7G
wqXFE8zAGK5b6PP+fhVnlxJBM7euujXhGB8q6g5CkTS4ZTzT0c5rBvrtDVW02gtzEXty8e7KFByO
KIsvDbCSDey+A9tddxsKVNZy9ASmJFK9+pgiJDVGexN3Ae7/2qMaGKfiDpXUa+yy1oQxKdaTuZyD
SNw0rqPLSHfDZGpfz9VrFEgFjwTlVTN3W19lUBXz7iSJQVyR5ndaAuaA0vEvTLTB9WCu7ZLgPkTe
jocjue/M5h0iUbkOXPkyFMz0xgQWQ4k1jiJ0uXil/zpFWbu2hHgLc/XqTQi7M+tm9PMnwy0uXUBq
ezPGz2XDmMCwigNDjbMPsqcs050ljU92Mq1lLXedWfvrtqlQUas32rkrVv6UOHbMKuhzKHYcSDdB
uyonzej2u23iLTFnSo6TqJk0AayeWQmV/XYYhhmUQHHbjJO9KiXy8Zhx0zT21zFnvCBZTu/drNul
Xv0wZQNCYBa8a8Ne7kTkfbW76inr590YWMWKYv9ucog9i4tjYheofP32zuv955iISoYr8xshmQmk
PLfa+JbGCpT0fYIx6Ka0/T132n0zlf4OufRpspgU6viXoLOfvbhhLZ/b0dpT4W06+PY1j/zDFDCw
vDoxhsmUoJng7M0piO7A3CU+taND9lbSQezrBOnNTR+8xZ4ngdeV9ooM2r1FVtoqK9TXzPfUJu3w
6Ni1tcsDfzPrgJBuRlQ2pKuiSL80jfgOIYIQOub0snauZMEcp6GGCWcOEJfoS16Ei8LQJMgbEF6y
VmV9KlzvmLvWxe3jXRPIbMdet0HJiJrDlsTeBX2F9LF0+247DsZ9Uo3fUCuNzdo1EzSlTb1fagcf
YVefgPrZazIaDqHHtEXZGlgKIXFDiXWwDVnuiT95z1hKJugziKjZmriDJI8uz1H4qgRzu7juhke0
3KRShnL6XRXJDMxfW0tvQYUn6VS4+UM4yA1CPawOSXwsQ+8mGloLa3ZDTKlOlPX9vN8GaWUhfFD2
itGDuTNykdMqL/15tsv7yIi/Cjk6911UPAQNQPbJE82xavmzxN2IeXTpty0LYFBsyy3z8GqVYoaF
YlTdRb57ExeEklRmysQp5QOkLeo669Sq+8QBktg0wV0QFNFx8tR10qaHAfpzaKtvTqu5MnP6XjhF
tfVZ0myMycD8vfB8jC6uQNRdchMvxl4wCF8+21J8GxoWNMeWEWKi6pk+lsdgKKL3ecEDbs/1JVqg
FZbCeMR+cICuYuAGiV8MmX3Per4ysJZ4tiuE/yGaM6NAiwOuYDPk+RP+tB/hoEaMljx3Ivf3hA/J
rTOh1zWqBXO9rMsbw57ci1UWTwbcqes00I0EHVtMP1yizYRqZN1HxKrJxiSRYxwuQ5MF7DphSuVh
8hg3PM2ugyCoycGwOBF/41MEtDGbl3sVVR7tqGCIUgxEDMzGg4DqCD6SL1a81BEdO/B55Alo2tBt
blTdOWhHV9PgxNAM+Fm9qO8LR5xz1T4SvPsUuYmiSBpOQEdswg20I7T9cIcidW3estBtCXFtQVOt
2z49I9lLFxAmorB3yRgRdJQmYKdCGTt/Qzz+gUv9nzXBY/zedu//XhA4vxYEwPDQzlvo6rnjfe8X
LPQHDA+lGTvTn/nf/5gDkq1mBQ4jQD0MNANkbX8UBHDy6LOoBT66t79qhXc/IKq/9lvo7BhFMlTE
LYDhLaT0+LUgIEDNFGDHchJJ/ZSHGQeoBdAHETzpjLVxC2uNkRbQnywHIdrMRALOktRI6OS4j4Pv
qFYu5I4/YW3JyS6rSQ7VPKFWMicLxCHI+50HcKggy2pEVlSQFAoQp9hQc39qXShemlUkpnjbAi9C
QHCZu/67z7dpxFwN8wdhFrijenK+sqreS1hzK9EqssaToj+kQJKaMDy3QJMUK6/FJvZQNNy2YJU8
Wz37WNxGzVuaGyfZx4v9noNisk3zDde6u/OjiGQ3zWtqrJwIbAz2LEfaE078YReAd+o05kmk2yxO
H6MBfzNS4XE7VNN9iRB/1QKJGr3CPBSaGyU0QWrRLCmjhCrFNOk2FPk3W/OmZtvNWJ8itzHm6Ikk
K4Yq/bQxNaeqbNNLpslVrFezbTkQaBZXvrv2JzWvfFBX8PcBysK+kkCwEEAZAC5KJCLqPtacrDII
T9YHOcvtLiEorRq1E7LFe3xtxrbXtK25GPGmBj8szeEyuCamGC0j+oBPKaiuua2YAml6V5+LYj0D
9FoAewFV24ya9IXK2OdGSm7QSp5TYGAQdb1DutAU2poUFrccsRbwsB6IWJzy/qXmii2aMOZxcPee
YkOu6WNFCzkBHJnR5ptREmOla5JZ08pMsGWJScbSrElmqozf6LEepobwVRVAWVtEz2IL/lmtSWjd
TOk4prwuh9iKbgZiGj0d91nwyrqEv3eYapmmq5lg1ixwa/CxbpokTI5A2IK1q5lsjg2NL9SctkIT
21LQbZFQV2gtN3SPPgNiXLsSzJuZqk91Wie7Osd40CcN+xyy1zQSbhyY01pQ4mrLvLOhxlXuqCEr
AGJkf2zL6rk3hr1qSxTJakcHGqJroB2X7RBuHW9E5aUBdYE5vNGyfm8HABIQ7NgGzZtUQ+1Kj1p9
5k8F7U5hOYRANjwGcPA681Qv1264RBDyZpLY5FTeWpDzbAh6ubvcGj1IvQG2nq0H9X2PBFBj92wt
e/CYJvOAJhR1BoQtGmw+cn5oSeW8DgARo6TEfFaYww84riyhCwEjVzvARNZ+mTBOj9AA/XTqj4qp
CEpFUIFW6R5jC3jg8sERtLEHroIynPaGAZTM1cBBhYxgF2oIYYOHRWosodKAwmJwvvVu5+x62IUU
TG81LEPsMSlLR5ToUox3c4+YE3AMjvPOI4Xxg4fo9qXdnG2Zd2e9bt+kQYX2aqopN8qiO7olprmd
6MHqPJMSyx45dhpr3zvQCORYl9Zq8qdm2Qa9nKxtUBrOtKoHhlMHaCRscRvhLskVI8DcP4ZmYXWP
Y9gY4sxKUJ1HF7vJW8OGeLjNuuqgJKP2imp0q5zM2RHuJ1e1ubxbjXxo8fysu2w6OU7Z7xqjgQJh
eGfXnzAAMW5b9bn3tVYKTULnIYpPnbfM8IJ1PFADk6XnnYTiYc5KOG7830nZcdXnKnLeceHYmy5I
aQCW+gcwBtRxeHKQNI72yjRJO2q6ZlrPLDbnij1kEjK0qYyLUzb3RtSfi0B9HpIRR4NgVUH51SIt
Rr7o5utWTKd4PrrmiLDCr96TjMgc7dPqbJdoJRRHjDTGR9NOr1Eb3hjp/CmP7R+LZfJTpPsjGwqs
+MnGWE6AikkldJttJJuHTMuoTV3oTJsJb0bsX8wsJ5tkUu+jXI4x/gCEBZMHMHKhn7KLq+dnC7zt
kL2PYdwjLrc3o+8umE77y2LOOHSnaM2nUB18dqjURGa3F87A2e7Q7YSJv6Wr5LsUGU9dtllc+Wo3
eJsCJyUT3mCDFWThyC+HWxBm4UGQtbleJoh4ApLKegyw1RZTNdKWjjcVTdEqCAaoDZZ/m4zlBTUe
aUAEEYdEe7ZFyyS8e/fCcd7aQ/Y4s2diXs8uLILNhrC5f476vt30UL5Rip9SI+M99stbX4fxjm+d
wzOwqBUiLWPdEDfYhuEzB/TOrPKbrIg7uOTiIFL1XA/4bBJ/WqMZOLI9uxvgf4Su+pJw0a1YI14d
szs7Lt+7AS02IBtLdzfNUWq27dyNcoU3j9Y1y46hCzZ8kOU6Dex637rJuE6c9hZdwB2VyK60O7pq
kBcZPFant3kAe4c2xiQny7Q09DWL/L0h+a9gaRXc7GFfGoa199ClHjs+0DWcsFuTFE6UId2pL1m8
1R66znZ6zrEubWfFJciRtTMSmILGaJ1z+p/1rBGMxJvkZ2nZd55F9LLRQt7pSrM4LnYuwMhGIGjR
ga9TXxwdJ7mL+xSbu5I78DdoTxLkO7U7HpbC5ivhBnc2vCummbApPDV9pYV4FW5925b+18URXyda
qqr13lQm35SEadqRox4V1ZupgoNwmscRk7FIjTXj5mxt5vHZbsZ3YJtIAuzvYQaqrE/uF8uHbNGZ
j6WjD3HD3XHWx+u/lxy/r+Cpkv/7kuNR5e/lf1hzOLzqjzkclKlQWBbsA/Nfsw3s3xijBSDrPLh1
H5v5n+t35nB4Zflm/VyB/FF2i+A3k6W9zktwsM5qcvVf8JhYgfaQ/KnsBs6ns13AXTEJJNzkz2W3
A1W34Xs03wadbO5wXBQP+Eb9N5U79mkes+zTbHX+LugG88KCM0JePMSsRIflxQ/H7jE2Vb4nMDE5
g4qLtr7RNWB7gE4GtXnNdcb3IKzoxnWhcEJO4/UDcVakCKNwMhX7SXjEp8mmGW67uDtYlciAvaBr
SUviw815GQkxaqfPRRzLE8iBZeVoeRzLPtycyAYoqOeX0K7XcS7e56jwTz090K5TxnguQdduGzVO
66kLIxLXzdtM9IrCCZJp6NXZCs4BYBqULyoUkHnNdNFnapp+r2ZLjy7KYlMvi9QAp0/xJCMcLANe
P1wASCvXE1LDo72EI2JP376Tlnwzs/mU9KJhF1Heu9i8tonZGfvOkwvq0V6c4tj0twxKzixx2iO8
hXADTM7ZZ3npbAfbjg6eNQQr7uzsVBfI0yI13C8N24oqb3Mcvu5CyDPIuQy9oy3Da8rECekWn47R
G/FDMhJgXCSWddu2Nj2QP1bHOm5PvZ1+Jm5iWhXE3WkqRLq1JO42WS/dGgphvOWoaza5kZlkPVuH
1GHEYTQSq9+wL7os0nSb6n1QMr0AHv0OgAv2Duxe9lgsckeaLggTjyQc3xc+Nrdsmvb2kL/Y6diF
N05INjWyjtuhtu6UHbyYsvUpmRGO48aZ7M5lUOtuI5BGzC0hoAKykZe2pQhkP3ZuhfXddfWqxBsf
oUpzr3OjrTMTempRmLe+DFHuqv0g3Jt0Ci/VaO5jC9zDkktr7UXeHWkHu0Umt8WSdCuvK3ahQ5Yh
4bgXlxKsyoxnnGD5hk4CazGxMksffS7s5osYLe6UOPhK1PFeufNzjRuB2UrlrJTWxIETn4trnaE4
IODYg3sdMGEmYRLjMNTfmxAaNd+KIsluLOK6+lU/c9VWYSQYfjbTjfTs5Pj3YfxxGLvsCP77YYz5
ChzB/O9DEP2yP05jjlwHVSiVKVsH0ul+2YqI3zybPe/H6hiR0j8nIHBrQp9RtP37yvmfR3H4G/+e
PR8sMqx6bEb+ylEMkP5fj2IHdnVAuH3IP3gr7LZ/nYBQ3bMXrtvirrQqh1Wb3eMNm/uEjBPgFyNy
vmni9NTw4a/Ysj4vGuU7wfR1NNxX+F9mrLnbCupvg2i01hjgLuCh7h3/anYggg0NC+bMBRusAcKu
RgnblQdepJKEtYMZhkLWrdNI3bZz983QX0Q3HL85Gk4c84T3GlesguQ8aYCxCNOLAdGYmaS7URpy
HHfesOk0+NifG4BhSBqB538Zkm63FNm8N6ElG1CT47Gz4J/Jg89+vcQatso0X9mtx08jeP28m1mw
ZtajcLs3yYhxH2o6MxsT71ayr0a9GXbAuKA4W+CciedQVIoQngMumSSxb5Wudag9H3GlM+OkDJps
VqCm+93pir2gTGqd5Iy8JVs3hrGeKKQaFJQs1A6F2bz1nEtqou0sdelFCRamHATYg6jKKIK/NnZ7
2yzJq0vVlnGDbkg5o5BzvTuDN0uVOB6KODFo5A3mBSTO7/D0PaL1vRIOeF0+SkQT4eWsy0a3Dopj
arU18kqKytF07gx3RDigIxBYSpGANlnnNGYMluqytJYYquve3AZUrF5rnFigN/RF3SlQ9GgmEPpq
dkI6rTo4NlVp7ymwIZ5SDDdJj3GS7FAC6ONmk+qi2RuiaevqQhrbH0XzbB8aOb5E1No5Nbdn9iCh
UDPA46n3DdOGCfnFCtTp0eaKWk26eGeDjEOBer4w3Gbd2Ea054sWrUdADaTQXWPdBkC+/5IazQMY
uLuRPkGmNAyene4dOoiCiXNoTWxiFu+5Y9NmFvIFMdZ3iiqD6CKbNkQ3JINuTQJ6lDLFzi/t6hT5
1auh25i8HZ8N3djwUgRqutkRuusxbOgMtscy3VI/CgD760RVF2cObzMHG3w3M74PaKd6MAbbSXdY
/kjsmpE2AdqzBKoDjRh+fcY4bM3eu6hKN2jGcIDpzk1k6WufoahNnhG45TyB9Hh811jJ0PUxwu/2
ZcuF644Y5SeL5ZUAjzBXI42vARDp/9k7s902sixrv0qirzuMmIcGuoHirHm0ZfsmQElUzPMcT/9/
h5IyJZt2VxYF/GygWBeVMMWI4OEZ9l577bXCQJuNpJKUmHzIXsU4s0gzg1RNOX3JPINtDkoyil3B
OuoLWcy1G107lgaEt4tkIpHIZvjOayKzRRJ/btPdQsvNE9Km9Ida+lM5yt8c8mK5i89zKPuiRWeC
Ho8/N2Hmg8gV135TrWOdPohgOMIZjl4CBzmAbQLe02Zg05tW2sOTWpXfPak56bL6KiZ3r9swWgRp
PRvJ6qG8w0wRiT7CH+okbFBMagQMUNb1Uy4lNFn0FGXj3loHRfkdWpBMfgwIqwpAAfc+87huRN5v
SDZNyrQlI/I9MQf03FswiRqcGk0kNZixIZ9UArjwqqZZ+GN7XAtQQwXdMP1+HQq4IxfAR11U8TwX
YEilFyszQcMITj8qvv1NbRSNCN/mcQ95DX1KNBVSo2TRZSwJ2zyLywDIp3dRH6cVQW/cfmpJ3o3r
6hdZ7tw4rr7S+sFG7V9oAw/xtZtDzfOUYuHVdvy17KoAsQ+UumRLBcwUC9sI77BeJPpou2jBtorA
qerf92lmTho9WLRdesyGfj3oGSAencpIHDZXkNEhaBvGrAWjX/oyKECL5T1Uv+zWtdNj3zX1aVTE
aLi2VwF1ZwwKcUsMNAqGWanMUy/ms217Y5ihvRrT5p7+YMCFvHQpWqk+7P1Cmnqj9OToQMUoHAdL
25GuoHfdmxpru4gtm45PG0n23vNALsb0XC4cTFKy4iuOiALuANFIBgrKmgp9zkfydpaxZxt5Ki9C
wt9FXGf3jRPcETHpU+o/i4FcY4K6CdykClJMp2mon/QIajmI1E3NNjCPgLdXDvYSk8GnRqxlBrGv
3n72h+iq40yc1iHxb2CQxkOs8tCrGJhuNkV4iEDM2BhPrlwakfHUQfIlOlsReqUGJ3fAzpH5GW3s
JZKcj0ZmXCKPs+lF+xDKdF+hCEJXLyWmXpOeKppZoA2E06kt0wtgpStZUY6okpbQu9RmHuE99hWh
qfioGovPmsrCj1PtTkJMtA7qx66IF44bfuawl08CCmITzv+jKvAukKi+pcq70qSqmyBr0cNtorF7
0LuVC3nTSul5yVodpUkUtGYkgg9Bn0mzpMzwdcjycTFk9rXiJsXcwJYDuThIxXmOP2UbN+6RXA5r
U2Iy1H6rLqLIvqWiDmDnSseB561LOnm8CHuwPswRbM34vJVfwnRQyIMoekuK8ZCj3LJA0fSbLiPM
GRbmpdyYXzKcud087lejpz2FMrYrWotqB+QuEr4+9RcmdWEoaRV6NdnA9AuVeqIEA70+o/LNrNpz
OvmDOTJxCHRL7Nr+gBlYaMEzNaVwLafqGfKa/rQO3JBG8vwkaGOGui6Xw4jmaqMZaL/K0Sr0kOMO
bCRKZWEZVqhuOs3CMp5TrnqESAJ6anvlgjZ6eZolbTvLZFQ96dxjVzXvEtujG8HDKjMppFu/7D5T
u4FmGjjTrIvxclPoY23sGnA8gzCt+ze1ifKsG9dHDcqk00R2PgOfXnoxckW0TuOnk0sowoIxTbW2
XvSeFM/oZz+SiJxYkKE87dTqPvcSzM84zxktjhAE03BsgWoSbDooyFJuPpmydCtBl51ZiaCLONGT
JdjG0OEf2qE8cTjJJ4NlPFSttcQhFN0jTzl2Uy1FfqHVp70Z3XlJgmppX6pTuzGnoZQsPPdetjFl
cBIdoFHKJkoTHudCnTlvQmy8A1RLCoTPaQ7+5mFKihBweKvgyjDJG+naSoDkVZRNdKe764m5oKeN
kLjzLJ0XteZNB4N0KYkKvg5cC7iApT7PMv3Ehudr2wNNLVYBLaDrnoAfwFs7ONGUnxZy23zNae+j
z0u5ij16KpkLZ5oZ4CtkhOWEXvsbUF4DzTlFI7zs2afL9KzXSwRQTf1YseuHMIG4jErOXdFjLZ00
8ucxDo77Ib5VdUp7XcWWasn3raiN2F2qAYSh3pzFzWlelYtUxipeHhDsRQAjY9aGG4fY2G9pvMz7
dDMm5fHoUGL3yvFIVdOvuAzMKMp/zluY6hVRnhWx9fkFM9OHAITeRsBDNtZS7ssnWHwFe3CP2Ssx
H/0v0yAOvzZWeuS6gL1RusYt8T6smwtdhySCttLMS/oFosaclFqxGgrruvfpjjRIVN0iu+kr/OR1
B4RUIvEOL2v6m2kDAEDVkP534zmqwqcILx41QT6NDblF8jVUIDN4lhpdxelofh2Qf7bPCwnNs6vY
qPN2NogmbiOXjv+dgz7noGSGv85Bv4GT70hA+cyfCShwIE3IQswFLA7I+00CSm6K5h0leKBCi//8
MwcF83PgjNkWndAaegKCK/1Ky7Op6kPwszWbo0M1/l4OCszzYw5KCw6MQcr6FImhBPxQhUfwMkxj
Newv8tqVJpQYYNGXt7WKp0aooiU1Kml2G7RKfKHWSXJTNW65kmSlWTWjq0wVGvA9YMB6UujaOcCn
DKMooepjhUg1UDGrIa6e+EV77zRdfpsNdDgSvPSXjufl0yRJranTuNmtXrVnpYzid51SOcSv9yLx
RA9rl3rXdKvS9GaoGsxSV5lVivI5QeV1FccUZkNHW+ZImuH7cOsVTbno9VCdmW0eXMRBn0x10/ku
ySahBTpnaDQFnwu9y858CNuLenTQURHmE/QmqheBgmF8L9fOinIY/kydaLRMnGTV5fiio+TEakzH
mnMEsBRNyomehwDsTXLaYBwXOdK3zlAU1Luxj884tgw/P5YbHcaVJ89Vrz2OSukEifovjOZZBkmH
oywDiDSbZJJG/nej1de9SXRJg/WdV0R3ovgwR6QbSNALbmp4TrCJJKKuFK0O0/NW0dgWK8lMNprH
btin5rGJeipGSfjx4eYcLmrJ8Ba+28mwzcZv/NCQks38JpPccz0e7m0cYjUX9pSea4/uUF1Sdm5P
KVbShFSP8rzo7HMKKLRgueO5kfGT1rQno6SG+5l2r2rl3dhFD5KbY3HmwxyK+wuzA5nAK4kgAGWw
CazMIxSIDex9cOzsPOeCqLaeqomO4595mvUJ2iGWBhKg+N9yb7zSdfxhCzqhpX6U6NqiaZj5Qd5o
F5F9oQ1yqN3LKm3HR1aNIyHC5CeICo1YgFHsnMUGyQMagBsJQjWS2iQQ0kC7PS7grhMauHzFxy0q
SDTfs8uriXKK8CSMKlHrdGUFBQzDppPeiACzsUGgrUe9LhGMnLZ2SVLgRWjoAATiAT6gAo8oThY6
C1kGnjSjkUEOKvdIGio8ZaBLUsi2ranMTEVg8DpOU3SOAv2ot2Ht51Ei36a+i8uAjiBylkJwMUIC
Q8cEXHAJEnSZRtPB3Qzk5wEow1FkGLdl7eLyl9ZTpJWnluWc6xWCqZ1umJzhjYzWiHkkQb27sGrO
YYT7apQKAnMBmeGmjbJs6tbGqQxiPHVoi5rKknFcxk1wrAzZSaHHylGRBfxKtQNS+7VS3Aup8xYd
TU0LiO+Qcuj0nDpJiZQxQBFg0swu4ns/NhY2zQa1yjLJBeKsJsn3HAi6F1h0JMFXjAU+7Quk2hWY
NaZO+LjqlJQb2z1vC2KU0DHn6uDQ3Z22zHP0mRBX6q8GhXAZHWaw8WG0J43Ay2XoaoAhmb4cPBc0
XeDqeZGeeAJpHwTmDitkPC5CRYJ6ByKfFfmVSb/4YgSsR8b3K9mpdqmG0GrZ/eCEwJyf+oD8kiZY
e6D+JvB/YYXeU0VBwPFZxlcWRYJxWy5It6WDf5+f2/NT/q2p6z9iQMnNzyeo+NTrCYrMCBJ7mgny
AxV9y0j7U0cdzrtFh6lhcLy+F23jBAW91WTjr1bXNyeoCvHMokznkOTClP87BTXjZ2K7yszmAW3h
WA4i8R7F9UrIIkgwxheSUnzzAiL2sYnvlcE4iuEaT0LEJ6uymSM4O5FbazFq3qkzFOedLcI84SuQ
CPeixqPmbjXqwjPkBWplNx06iXPb4jRpveFUrt2ZKUFmCpT6S2CrBHxKjCwlkXYrlas4qtaIIUFz
VvRHVMRhA0lgWh4G1L3dPmLTVEztSB5mdD6BAuGBqgwptmoNeUuZ4Gqk2g27SsOBqA+yOa2RPlqk
GTaU6OXOYLlAPCFLpfPwKzU9kAoy6Uw2jxXoGbMCz+OJ15ICJtSBDJ++O2RVL6Ey3LUuGnKhHVB4
86UOIJs+n9AMg+nowcJJEg9zZheHlHoxWBnF8gJSltr1X0bfO8Mq5SSHCefznSbZwK5NGR0ZgAil
Ai+ZR6SOrqLeuihDL0iCEzjJyNvWVUvzekRnga5rq0QbgGXs/M6Gu4agHLsDhtE0BHs3tRrm3+Wi
+0Ki2Z3UqIXkQjYkFgIiIXhVj/VKgLIIJTlzojcGzPKOTbURAiQ+SiQ+iiRaUcFvCroLydTNeRTR
h6gaSK6NQsrEwzx9KWXNtYbKiREjiNIJ3ZMmik4yc13365zeXR2NlGrQsmVT0oDaYIpa5li3fnEU
P72J5TiPNoE3Pna9fz1quIxZW+54VPq2vS6xw3GZ30cynIRVX6voBpauc6EnbnVMO9FUd5p52mHF
UZfgbBBfgqlPw/C5Fo702gYZ1LzYsO66tJtZQeKfaX22KUZhzph5QHGlaVN9/fc+t93n6Ir/TZ5w
uq6qzQ7nKvGpN/uc8Mwz4Ymr7CPvSlVQecU/E59vna3/yhSe+bq0vZFFQB/Y6m2/7nMOVhLQfsF+
X1m+f2uf+ylToIFIhRqMAwXFNN0R++DD+jpIveq//0P5T0yXeinPzO5i6LTKmvu4KEMUF3b23hD4
c/o0Tuox8jSsJNo2+qI0iiTPFNkO6qN8DAS73ESTtdqaDIVUgEd0fvI0I8pPNdOA/dKBFgC0ueMc
tDAYIOmVq95UPOfpmQE3VBVJfB1YyN+7EPUJyvNMGLHTRSmN88L0VICKMuroRB8zBUadtWXXJSr5
/FwXqtkT19521EVQ8basPHx5dONzrKBftECzhAYWhY0pNXXMr+EqrXoN9t9Tp9k9ttv0Jc49L0zq
OQeLjAxuTw3eteP7wEUL0EF/kBJ6PrRzKaYLs6XFeYLPt09tQ6K7gEbQ+9agNXIcE21ZywN4nFF4
+tIY/Cezk6hsp/YTQToGoQkbnJXzXi5h+iC1TbmkHt2d+B6aTjY9nxMvgO0f17Si0L6X3ssWcJ+q
1FE5S6iUT0pZAh41UApUhkBeERNil+d26VqxRcPhmHnHeSnFl1gc+OD0ioM3VLqJrNFYarFGa4Pf
6kvqMcFchtU/iTxaE3SjiS+R9QVucvQjJH3ZwYuim+NFDnxmaxu/krKVURIOI9GJQgP6BrAxPAsp
a+meSr+3Mse4mSoOPl1+WT5Znesuc1jKEwtpTPKDErWWmDhymWVJdewYMrwPyQ+R86NU4WVmdixM
moImpCpiGYDiVjdcOY5rLDsnS+aVkHLKuiSaayVOZl3jtlhWlzymrX2N0wjeZxFC6hK9KaDD3gT9
Rxi9eYuQeqaF6C+axZWHkNak97r6ygJfmYyDUkDJG4aIbhEVPU/Z6ecV7R2Ax30+7xWrEcw7wMI+
jVZKDNWqoLFq9e9tc7ttqtS8fw2vnGW72FbiM39ums9disSAqk4hXeOt1+CQuNGkti9TZGcTpD/8
LbwChKgSOv7Viv66aVqfdFPF3FQ12Uv52N8SO9Ec4J33bCsbEi2RoQrGI4x2xPtvNs1qlIOhoZJ5
jhf1eArbGSIiBXUgRJqU6JQVBrwNytGSavoxRpeulZ0NMmT1eROE+G7Xhhyf2YISINiX3AMBVnYO
fe5KjR46cw8+ConiiHEGqqF1iMhl1yQSlmeyByIKFis5+VEF95gOpdYw+6smtGhV8yVYipYIihpk
V1T8YqZo9a3q1CLtFSFU0cotFrzIYRGZVgu3kW9DIq4yNWEZY17gDvJ1KoIyRQFCBc04ybPkJC3c
U4X4DV4/3YQipKNGsWzyo1iEerRvUNsS4R9iHGxc5Icw/AkOGxEmtv14lxA3UlJs0PiiX6EhpASX
BSgRYWaX2MeigqOKADRo2q+1CEkVYtMkkI1ZQrRaibC1M1s0qkQoC8upnmrW2M/gNsdwywh5B7bh
iS2rc9loILqLwLgjQoZ/fRKjjjpthJRf4iqPfZ9nIKXVIkRQKxCBdkLEDUk1R6Wq/NIY+I6HRXda
NajxtiJYH4naMUhcFCKMdyMXcj9FUJee+CPdj7xJr2fnoZpds2dOqWJTH8IGnZrkpLULSLO0T5M3
QBCHAOfDqtDwCYujWeyj6t7m3jFNXgSHlNAoyaEqXvfhhG6OaGEPlrSgjeAMGX9lgaxYeAqLbql4
3h1k13AKJy6g802DD216l72FOhPsrKlS1MctfVowxcs7LxNW0JFxMgzKTU2bIA3r7SSkdSZKw2sP
VCgwtFlkBUJSY8Ry0AAHz6GhrMrI9ady71wi8kwtutA2WaxU0PpgjxhphgtiWi99LVmkWvQZYW5E
kAsoKcWF5OdwvRw2ZT12wikKfYswxlQPtECcSY2sfZNzPCit0Fi2XXzTR8ZR6hXwDlwfhXjbN6ZD
FbZMdNU/yfNSmWnOyKHcdXepRSteqNb03XZfFL0CXqR7giBgSYfFRVgZFPvJD4z6HgdrSNspzYmN
BRm6iKhk0tM60+rmxg0pImShAsozeEdepSN4WxfXjTl+i2zvO/35wbTHfwDP76CYh62uTHW5+dwG
Mt13kY7Lr+kfI+N3LFvOOh0B1WSPbk41U24cw1wEpX6bV/KSUuVlByYz6QPtRsccbGb7CB1pvXRO
u9xZYOUQfiMs/YL4LtCBQlNlWCfe2K+iwVs1LYUcybedaQqSOdOSOFsgQQjWJwzyqiBjlY32iUMj
x8xRaGOSx1IIOyySDvsGV41BUugOR26yQ/RhuFAUfVPGKPJmZXGeW9bnrHD94zLRqLQp/QYdvOtQ
J64xNZihStzDyRyHp66lZ5D2bvzePVWfEsfiYVXVyjK2OkAnbOxMFyMSE/UPemNAe7Ic/40C4yQE
gf1V5PVr06/TeW2m6RwM9KwxijNF0rGB7ykFIaZLWEflx4CYOkryU9npJ2gQrYYx+5Zanjo3/eLI
0qJuSjviCR209FD1EmXUxrzWe1U/8oioJihAQApRwzMlSo5RM4AnE56Q2V+FpXuSxOGRXxc3rk8z
Q490Tdoh7J+5F6aU3+Y2knjaMBQkUZ554rAvsjciOU6YAzW/6ZZhlN2lGe4NVuewZisQTbcr551n
1tOg7b44Fep5TUZQ1qZ0Q6RB9K3Xao3l2CNlAXRHiJJNnV5NFtHg36ndpivxDQCdDObpoJ/4ZvKt
p11pqTjNTdzV6txtsy/UdUU9UvpC3L7xPUiVQ2TJdCwZR3KVPTiqjqiI/NQqTIY8NW/zkh+s0ymv
GTG5ruKlxaJIrEtoHXNPg80ueZ00ieP23JAiXFFptmn8izHR9YWhIyCFFBG6ebF1CklOm1H4P0Jb
JKBT1e6P9M64UXP3q08H67KMg02CADnwZocCVzemqypqP2up6Muy+nHSPauX/DtK2kZJonfy11HS
JeDGLnUI8anXOEmoQyBvo5HlQG58z4NUPumORWoJGU/Aa7AUX6mQMuRJlBrwPTC0FzPl1zgJUM4B
enPwMXyxbPobyaVm8Wjv4yT40qpA5RCR1m3tR19kHYPRVHMH5cJgckeroCW5KMD8z0I3nupjdQUU
ceeyrNSijpcUEu6kwK8QgWOhZd7SEVWMIOo/l3VOh1BWXqH5uHRojWxcb2om/ZFG/WFsVpgdfUNF
7dilLmJ7F0roeGdZUMFBMQYHhu7Yo/xpdhNzGB9jnRYVorcI4yT7G1knetpItYKF13ifUhdSoTJo
RnsZdLU2L1Ip4H35ZGxZZFBLz+ivhelj4Roo4USUlPImyKunblQfcQLmeGgiH+5cf5PYPSqnvf6t
G6S7ctRN3HJEQxldWO2I9qk5DCeSHl2bChaftDAh3uKGM85S/tCtngwX2dp2rB7KVqFHO1M5+gL0
wV10shK/LMiFtQc5+moMl7RLjhO0gwLYaSszdPyZa9XlrENDXUfhQe6pRNEEVc9y6KdHZUWH41oJ
dNKooC/Rjktbnz2KPIeotpjH0BMntciCZBffPKqgZEaqHS9kkS1pagvjwBQ51CCyKX+bV41xedWK
XKsRWVcu8i9V8B4rkZP5IjtLRJ6WFLTBiMyta1BZ0kU2R4taNK9FhteLXM8VWZ8p8j9KOEiJipww
JDnEvQXRUpEvupzBZ67IITGYqiC+w6HoRYaZ6gBts0LknZKvuUslap5UkZMW0CxxoyNPRcn2vq35
+dBXLOacbASaaOJMApHh0uOxcUTO2yC0NE9FHlySEOMvW00p/MWXtoYyoLLNm6UhmDtKismiyKqj
tjKWBP8bmpId8n7inEJk4fBZvWNGDh0TkaPbNCtOVJG3u7Lo9RW5fCqyem2b4Csi109E1p8PKUls
BbO0EsAC8iflSSdwAq8DMXB8oVYs21RICX9p7/XhAVfGE1GEPtEBHThhtaVIJ4AoBCYROrhCl7at
38vw10E5E1hsAsXwEqEqBTWNNjoBcoQC7whTwlXWnHdchqqMO0GU1nN/C5L0Ai8h3SjDp5i4fGUr
inqViTZJQoPqBMKwXJ5oeTAt5f42xs9gBtRpILeAUXgWF18GyfGm8khZOXO6bF75PaBt9Y0ur7s4
o3XWtZ1u7qPSPW+TjNqRDHJkDeEXatWXIRjydwpJ1kT1Pf90aGxCvRxMeGyuoC7aMOliodNhFUdO
Y278uP3eyO6i82xcjhzpqQtrEbkG3zQpPI71+KsAppYcsnT8JqXYRJwzhuKowV08Y51KDfOiTuxb
2TYuC8U/zhUDdY8SJxZZf1BN566NpX4G9x8CBwZKdlmusrG6qUbnM4aamLTU1NopXc9b4TwSuMGw
1BBNnYYpiZWdpCeYQsPG9K89mdTF8tycnk2tODHo8OxDoukupUSYUX+13Atbw2ezR+acXniblUKg
AsucNrUgxnccS6f70E7T72ZUhytPa4OJpTfCiMHRj03TQSbMpBNUN5J7vFnYs+QmnZtacZl10o1Z
VSLOiYJjL22ASGhRm0dDZ/NI2KYMUo3vVs+e5Gadd5UoMAYrlsvVFgoaZSgwpbhpndPCiQeKs4RT
G1zHXpnPbBV7L3aYZlmF9HNLRu8sc10Z8JJBSZmcNmaHsYZlD10Uf3IYtIGV6HNnDAlcS+OpGrwR
3t94REB3IeM9lWjhqYHa5VzrZHWpYRwx1+TcXSD9hWcycCmWHFAJdDnLVqrZG9h2Y7rs407twiZf
qprw5kQkd+UnrFq1g+UIyw+nOZ/m5SFnl5ILV1kCnHtXRtniUt+K2gtd4djIA/iha4KPKKJmU7Te
0DOxuub/DI7+Itc1W9freQqncbhqNuVwvakgtVavMYB49zJjOd1m/9of/f5Cf2y2d74d8s1//8f6
ERXWWVDVZfBQg4w/v3f0CCi9DZ6E8fC74Gn7YNun/u114jXfrnnkDpqFciE2BwYmUNsXd2GfoZa3
fVtSkNyVcS4QTX1vI9bfjcLvv+DzcP7+b3778D8Ogrz/IJifLE0xwf+Fyph4/TAI4G0WaBeuC8+U
qTcT5VdT4fdfcL9BeDsRaDbkaf/2JOALvp0DMLLYAxWEKsWLMPndHBBwI5KHtA29jM9BzgQEnv+V
kRAT/u1Q0LFpwyWjzCFesNPeDYWqfsJSHMSTjzHo/58nwo4tQf4Rdf77W4KDk5wo+gMwb18/bQm4
vxNamVD+DnUQmMF/e0m8nwhwEfmVyRsZz/czQP5kkdChp/q8Wp5vdXgT4WWreuj/y9tkf27Xf+ts
wM9GF/3ZfNdfTQQauxVS2+cK8eENgrz/jgAaAJFVoWry40RQP9HbqHB2Huxe8Lw+95kCdOjD7QVd
sZ73Q87a96uBQcAjyQBJOdC9QNTN9twL9E/U8jX4yi/rgErXu0FQcBgAcHGs59l2gMvgeYbuMxFY
Bgo1SAjbv5gIkMEJIsh2D3VDNH5EGv/2yYhMHJJuEFLUX8SJIjoATWQYUDvjdahDIdxZ91sTDAUK
5Yqu/7wtslrwi0UuiH1DvA50XxAPvt8Y0MqgAhTrTPntry0EBd/tC2I60BghG/ahnhDK/oGSir49
4okECrsHAW18PInJrYimxOtg1wS/3p7zwfikIWLDFvn8TXflUeI0hZ9BWsG9Du+gUPY/LM1PfD1B
PyEx3b5+WBQimeQ9Fs3BDsLzg+1zWuqfOCQQPHodhB/DJlwhBKZCyYpy4iEvio/AVrBqIkYGenz9
qu83Scp3JiEk2MKhLor9kwgLdRWd5m1YrNvXj/OBk8IgwKR+eahh9EtYt8+icD4pInhEfuYXM0ED
eEA2QBOoy0Fuj6KPcc8zwvpEhyNVavMlOvppJlCYRg2CjUF/XS4HORSilr7nUGifHJsmFhjeu+cD
aZWGJhEHxaHuDOr+Cbb5CTU9tO/Qjtm+foohFaietFig3Haoi2L/4xLEkYZ5GAQvZ8SOQUCvSCf3
PFSgSd3/oNQIpCGcQBLZfUawHNAoFz4jhxpCq/sflPYnGxiFYXgpReyaCZbINfBZ2b4OdFFo+58U
6GZiKUZkJFxseLHM3gdOgtwk/kfKIV6HOiuEC+aeJwU5JswCgzzzhzFgTSi0DQHNvWQbBzodfpL7
+1ewJ4vEilEwfzEd1E8CakDF52Anwv6IiwXqJMQJ7ZfoiQ3n/ZoQuhM0RNjaoYYMwntvz9VAMsE0
0Omk2677n2EnBVyKBBxjrIPeGIR97p5DYRM9WeyBMpd6PxEUqnSk10CRB7olvMzQfRIqGnrgr1rO
6+b30wkB/qjaJF30gYuRPjy8SZBh95wCuljxInP+BSYv8CYH2i0b4/PGeahD8fwb7TcfBKREtfZX
uaXyiZ1TIY5+XnkHOB/2D5tMAbXg6ae8/Nw/hgxALVT1OUUONpfQ90aiqc4YFjkjeuzPRwTD+n57
xC3dpqhpv1RBDnAm7B8sgLEaZBIiuX49B38cBJleb9ooDzWrfFmne+wJNNFDbaMA9Upo2hExmbD/
DDDYQ90Y94+Y7E+65mDPjCfA9vVTVrlNMExaZp/rH4e3HF44JnvMBI3CjCaLwvSvWX6qI84HIeR2
kNHCy4PtMwjEzjZcDYLjX+wJMhujquAsd7CDsH+JTqcsDaGFlsTniOjHI5KQCX6bIpsv1Np/ajn8
E3/0J4d66gfx45Y9jfvWLpL1r/7glVX78/tvuNFbSuy7vxRs6ueb/8Wu/p/35OptcPzm3ddgeXun
l8+/fMWfb/7uZq/f6/UfVwEOx+WDP2zfGF4e9HydQL/+R8z/Pa7fEnoFs1sggK//tpsJ/mfQ/Pur
/0aC6jc083/u4sn6MStfn/IvTrrAof4ax5857P/UxSdNXW9er/Pm2sQxe1/7fzOd3ndgpmiuVj/9
pKTiLNz9Hz5L63L9xzTb6ZEp0uC9bzHbxH+cZ+XO8SdQ2vv68/iPWVYyeV6v9eb35ajf+/qLclPt
0tYQm9neF1/Gm3SH2JHgme597VWT3GfxY/16qb/GRfC19r48sjWbMljHr5d6c/mPWLJHyKjvuPRH
rNiTTbljzBVO6L0H5URoPL1e582IfMRaPV1HO/Ywwcve+7F/K7q17wZ2mlV//CP1NvFm18h8xBI9
Wz9yJr6Ow5th/4glerbGPWfHtT9iiYprI++x49HVj1iiZ5v0MXsIdu1egn+x97Q525QPm8fXC/01
7oLXsP/FM5799Tpvrv0Ry/Q3akn7znYuXW/KzbDjyT9ipZ6v812z5SMO0vNNu/45dsRo7yOW6EW5
ZgvYMSgfsUQv4/XDZkfsKArIe8/D32pG7DtbroN2U1bB446REYyYvR/+Zv1QkhKk9Y6zVNSUP+AG
6R+TDe5iu27wEUv1Zi1uUKbr8nHnRib6MT7kW8yCjbfrS3zEqhVfYsEKeAiqh133+IjlK+5xnK2L
ZtdpJcqEHzJKp01Q/XFxH1T5ru/xEYtZfI+zdb3Zdf2PWM9cv17/MVmX9+tdMYMoIX3ESHGPabz7
Dh+zsMW3mJbN+Pq4fx2R+ocsbH+9MycU1YT9xwcMY+fgf8hiDqoIp7vm9TnfDMyHrOXfOdvuex7c
IOOY7Djgha3F/qNer9HVj9dN9XqxN0PzIUtXwCw7zmH9I9bt7cZf7xoa0Ye199D83iFz31/1tmEn
2HHECxR+/0dvAIiSXdLwAt/e+/JfuEKza60aH7FWf+MKs++gf2vudywkoW36v4zJLlj2T7LDz2Dt
q/bCro+9x6LFXzzEm3X5P/8PAAD//w==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1</xdr:rowOff>
    </xdr:from>
    <xdr:to>
      <xdr:col>27</xdr:col>
      <xdr:colOff>0</xdr:colOff>
      <xdr:row>44</xdr:row>
      <xdr:rowOff>174173</xdr:rowOff>
    </xdr:to>
    <xdr:sp macro="" textlink="">
      <xdr:nvSpPr>
        <xdr:cNvPr id="7" name="Rectangle 6">
          <a:extLst>
            <a:ext uri="{FF2B5EF4-FFF2-40B4-BE49-F238E27FC236}">
              <a16:creationId xmlns:a16="http://schemas.microsoft.com/office/drawing/2014/main" id="{AACF62B9-3938-4A26-8609-A742D3665B10}"/>
            </a:ext>
          </a:extLst>
        </xdr:cNvPr>
        <xdr:cNvSpPr/>
      </xdr:nvSpPr>
      <xdr:spPr>
        <a:xfrm>
          <a:off x="1974669" y="1"/>
          <a:ext cx="12666617" cy="8316686"/>
        </a:xfrm>
        <a:prstGeom prst="rect">
          <a:avLst/>
        </a:prstGeom>
        <a:solidFill>
          <a:schemeClr val="tx2">
            <a:lumMod val="10000"/>
            <a:lumOff val="9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15240</xdr:colOff>
      <xdr:row>45</xdr:row>
      <xdr:rowOff>0</xdr:rowOff>
    </xdr:to>
    <xdr:sp macro="" textlink="">
      <xdr:nvSpPr>
        <xdr:cNvPr id="5" name="Rectangle 4">
          <a:extLst>
            <a:ext uri="{FF2B5EF4-FFF2-40B4-BE49-F238E27FC236}">
              <a16:creationId xmlns:a16="http://schemas.microsoft.com/office/drawing/2014/main" id="{06E0224E-D9FA-B3FA-DA12-93956AE70D70}"/>
            </a:ext>
          </a:extLst>
        </xdr:cNvPr>
        <xdr:cNvSpPr/>
      </xdr:nvSpPr>
      <xdr:spPr>
        <a:xfrm>
          <a:off x="0" y="0"/>
          <a:ext cx="1974669" cy="8327571"/>
        </a:xfrm>
        <a:prstGeom prst="rect">
          <a:avLst/>
        </a:prstGeom>
        <a:solidFill>
          <a:schemeClr val="tx2">
            <a:lumMod val="90000"/>
            <a:lumOff val="1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284117</xdr:colOff>
      <xdr:row>3</xdr:row>
      <xdr:rowOff>119743</xdr:rowOff>
    </xdr:from>
    <xdr:to>
      <xdr:col>1</xdr:col>
      <xdr:colOff>989511</xdr:colOff>
      <xdr:row>5</xdr:row>
      <xdr:rowOff>108857</xdr:rowOff>
    </xdr:to>
    <xdr:sp macro="" textlink="#REF!">
      <xdr:nvSpPr>
        <xdr:cNvPr id="8" name="TextBox 7">
          <a:extLst>
            <a:ext uri="{FF2B5EF4-FFF2-40B4-BE49-F238E27FC236}">
              <a16:creationId xmlns:a16="http://schemas.microsoft.com/office/drawing/2014/main" id="{32CF05F3-A25B-2426-3ED0-C45E1885CF61}"/>
            </a:ext>
          </a:extLst>
        </xdr:cNvPr>
        <xdr:cNvSpPr txBox="1"/>
      </xdr:nvSpPr>
      <xdr:spPr>
        <a:xfrm>
          <a:off x="284117" y="674914"/>
          <a:ext cx="1021080" cy="359229"/>
        </a:xfrm>
        <a:prstGeom prst="rect">
          <a:avLst/>
        </a:prstGeom>
        <a:no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06B9EF-A4DB-4D7D-9349-F0BBA5266DBD}" type="TxLink">
            <a:rPr lang="en-US" sz="1800" b="1" i="0" u="none" strike="noStrike">
              <a:ln>
                <a:solidFill>
                  <a:schemeClr val="tx2">
                    <a:lumMod val="90000"/>
                    <a:lumOff val="10000"/>
                  </a:schemeClr>
                </a:solidFill>
              </a:ln>
              <a:solidFill>
                <a:schemeClr val="bg1"/>
              </a:solidFill>
              <a:latin typeface="Aptos Narrow"/>
            </a:rPr>
            <a:pPr/>
            <a:t>2,400</a:t>
          </a:fld>
          <a:endParaRPr lang="en-IN" sz="1800" b="1">
            <a:ln>
              <a:solidFill>
                <a:schemeClr val="tx2">
                  <a:lumMod val="90000"/>
                  <a:lumOff val="10000"/>
                </a:schemeClr>
              </a:solidFill>
            </a:ln>
            <a:solidFill>
              <a:schemeClr val="bg1"/>
            </a:solidFill>
          </a:endParaRPr>
        </a:p>
      </xdr:txBody>
    </xdr:sp>
    <xdr:clientData/>
  </xdr:twoCellAnchor>
  <xdr:twoCellAnchor>
    <xdr:from>
      <xdr:col>1</xdr:col>
      <xdr:colOff>17417</xdr:colOff>
      <xdr:row>15</xdr:row>
      <xdr:rowOff>63138</xdr:rowOff>
    </xdr:from>
    <xdr:to>
      <xdr:col>1</xdr:col>
      <xdr:colOff>992777</xdr:colOff>
      <xdr:row>16</xdr:row>
      <xdr:rowOff>179615</xdr:rowOff>
    </xdr:to>
    <xdr:sp macro="" textlink="#REF!">
      <xdr:nvSpPr>
        <xdr:cNvPr id="9" name="TextBox 8">
          <a:extLst>
            <a:ext uri="{FF2B5EF4-FFF2-40B4-BE49-F238E27FC236}">
              <a16:creationId xmlns:a16="http://schemas.microsoft.com/office/drawing/2014/main" id="{8E34189C-2582-4F0A-975A-00305BDC14EB}"/>
            </a:ext>
          </a:extLst>
        </xdr:cNvPr>
        <xdr:cNvSpPr txBox="1"/>
      </xdr:nvSpPr>
      <xdr:spPr>
        <a:xfrm>
          <a:off x="333103" y="2838995"/>
          <a:ext cx="975360" cy="301534"/>
        </a:xfrm>
        <a:prstGeom prst="rect">
          <a:avLst/>
        </a:prstGeom>
        <a:no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B14A57D-9660-4B0E-A46D-37492A57BD95}" type="TxLink">
            <a:rPr lang="en-US" sz="1800" b="1" i="0" u="none" strike="noStrike">
              <a:ln>
                <a:solidFill>
                  <a:schemeClr val="tx2">
                    <a:lumMod val="90000"/>
                    <a:lumOff val="10000"/>
                  </a:schemeClr>
                </a:solidFill>
              </a:ln>
              <a:solidFill>
                <a:schemeClr val="bg1"/>
              </a:solidFill>
              <a:latin typeface="Aptos Narrow"/>
              <a:ea typeface="+mn-ea"/>
              <a:cs typeface="+mn-cs"/>
            </a:rPr>
            <a:pPr marL="0" indent="0"/>
            <a:t>4.0</a:t>
          </a:fld>
          <a:endParaRPr lang="en-IN" sz="1800" b="1" i="0" u="none" strike="noStrike">
            <a:ln>
              <a:solidFill>
                <a:schemeClr val="tx2">
                  <a:lumMod val="90000"/>
                  <a:lumOff val="10000"/>
                </a:schemeClr>
              </a:solidFill>
            </a:ln>
            <a:solidFill>
              <a:schemeClr val="bg1"/>
            </a:solidFill>
            <a:latin typeface="Aptos Narrow"/>
            <a:ea typeface="+mn-ea"/>
            <a:cs typeface="+mn-cs"/>
          </a:endParaRPr>
        </a:p>
      </xdr:txBody>
    </xdr:sp>
    <xdr:clientData/>
  </xdr:twoCellAnchor>
  <xdr:twoCellAnchor>
    <xdr:from>
      <xdr:col>0</xdr:col>
      <xdr:colOff>300446</xdr:colOff>
      <xdr:row>11</xdr:row>
      <xdr:rowOff>11974</xdr:rowOff>
    </xdr:from>
    <xdr:to>
      <xdr:col>1</xdr:col>
      <xdr:colOff>936171</xdr:colOff>
      <xdr:row>12</xdr:row>
      <xdr:rowOff>174171</xdr:rowOff>
    </xdr:to>
    <xdr:sp macro="" textlink="#REF!">
      <xdr:nvSpPr>
        <xdr:cNvPr id="10" name="TextBox 9">
          <a:extLst>
            <a:ext uri="{FF2B5EF4-FFF2-40B4-BE49-F238E27FC236}">
              <a16:creationId xmlns:a16="http://schemas.microsoft.com/office/drawing/2014/main" id="{0F3261B0-4402-4FC9-A89E-A7ABCE724F23}"/>
            </a:ext>
          </a:extLst>
        </xdr:cNvPr>
        <xdr:cNvSpPr txBox="1"/>
      </xdr:nvSpPr>
      <xdr:spPr>
        <a:xfrm>
          <a:off x="300446" y="2047603"/>
          <a:ext cx="951411" cy="347254"/>
        </a:xfrm>
        <a:prstGeom prst="rect">
          <a:avLst/>
        </a:prstGeom>
        <a:no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5F4FA0-4B28-4F35-BFC0-D774501DD660}" type="TxLink">
            <a:rPr lang="en-US" sz="1800" b="1" i="0" u="none" strike="noStrike">
              <a:ln>
                <a:solidFill>
                  <a:schemeClr val="tx2">
                    <a:lumMod val="90000"/>
                    <a:lumOff val="10000"/>
                  </a:schemeClr>
                </a:solidFill>
              </a:ln>
              <a:solidFill>
                <a:schemeClr val="bg1"/>
              </a:solidFill>
              <a:latin typeface="Aptos Narrow"/>
              <a:ea typeface="+mn-ea"/>
              <a:cs typeface="+mn-cs"/>
            </a:rPr>
            <a:pPr marL="0" indent="0"/>
            <a:t>$649.0k</a:t>
          </a:fld>
          <a:endParaRPr lang="en-IN" sz="1800" b="1" i="0" u="none" strike="noStrike">
            <a:ln>
              <a:solidFill>
                <a:schemeClr val="tx2">
                  <a:lumMod val="90000"/>
                  <a:lumOff val="10000"/>
                </a:schemeClr>
              </a:solidFill>
            </a:ln>
            <a:solidFill>
              <a:schemeClr val="bg1"/>
            </a:solidFill>
            <a:latin typeface="Aptos Narrow"/>
            <a:ea typeface="+mn-ea"/>
            <a:cs typeface="+mn-cs"/>
          </a:endParaRPr>
        </a:p>
      </xdr:txBody>
    </xdr:sp>
    <xdr:clientData/>
  </xdr:twoCellAnchor>
  <xdr:twoCellAnchor>
    <xdr:from>
      <xdr:col>1</xdr:col>
      <xdr:colOff>67492</xdr:colOff>
      <xdr:row>19</xdr:row>
      <xdr:rowOff>6531</xdr:rowOff>
    </xdr:from>
    <xdr:to>
      <xdr:col>1</xdr:col>
      <xdr:colOff>1096192</xdr:colOff>
      <xdr:row>21</xdr:row>
      <xdr:rowOff>92529</xdr:rowOff>
    </xdr:to>
    <xdr:sp macro="" textlink="#REF!">
      <xdr:nvSpPr>
        <xdr:cNvPr id="11" name="TextBox 10">
          <a:extLst>
            <a:ext uri="{FF2B5EF4-FFF2-40B4-BE49-F238E27FC236}">
              <a16:creationId xmlns:a16="http://schemas.microsoft.com/office/drawing/2014/main" id="{410B91C9-56BF-44E4-BB26-3075FECB1585}"/>
            </a:ext>
          </a:extLst>
        </xdr:cNvPr>
        <xdr:cNvSpPr txBox="1"/>
      </xdr:nvSpPr>
      <xdr:spPr>
        <a:xfrm>
          <a:off x="383178" y="3522617"/>
          <a:ext cx="1028700" cy="456112"/>
        </a:xfrm>
        <a:prstGeom prst="rect">
          <a:avLst/>
        </a:prstGeom>
        <a:no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36F287-A418-480C-A786-C57D828B00C4}" type="TxLink">
            <a:rPr lang="en-US" sz="1800" b="1" i="0" u="none" strike="noStrike">
              <a:ln>
                <a:solidFill>
                  <a:schemeClr val="tx2">
                    <a:lumMod val="90000"/>
                    <a:lumOff val="10000"/>
                  </a:schemeClr>
                </a:solidFill>
              </a:ln>
              <a:solidFill>
                <a:schemeClr val="bg1"/>
              </a:solidFill>
              <a:latin typeface="Aptos Narrow"/>
              <a:ea typeface="+mn-ea"/>
              <a:cs typeface="+mn-cs"/>
            </a:rPr>
            <a:pPr marL="0" indent="0"/>
            <a:t>2.3</a:t>
          </a:fld>
          <a:endParaRPr lang="en-IN" sz="1800" b="1" i="0" u="none" strike="noStrike">
            <a:ln>
              <a:solidFill>
                <a:schemeClr val="tx2">
                  <a:lumMod val="90000"/>
                  <a:lumOff val="10000"/>
                </a:schemeClr>
              </a:solidFill>
            </a:ln>
            <a:solidFill>
              <a:schemeClr val="bg1"/>
            </a:solidFill>
            <a:latin typeface="Aptos Narrow"/>
            <a:ea typeface="+mn-ea"/>
            <a:cs typeface="+mn-cs"/>
          </a:endParaRPr>
        </a:p>
      </xdr:txBody>
    </xdr:sp>
    <xdr:clientData/>
  </xdr:twoCellAnchor>
  <xdr:twoCellAnchor>
    <xdr:from>
      <xdr:col>0</xdr:col>
      <xdr:colOff>312421</xdr:colOff>
      <xdr:row>7</xdr:row>
      <xdr:rowOff>67491</xdr:rowOff>
    </xdr:from>
    <xdr:to>
      <xdr:col>1</xdr:col>
      <xdr:colOff>1002575</xdr:colOff>
      <xdr:row>9</xdr:row>
      <xdr:rowOff>153488</xdr:rowOff>
    </xdr:to>
    <xdr:sp macro="" textlink="#REF!">
      <xdr:nvSpPr>
        <xdr:cNvPr id="12" name="TextBox 11">
          <a:extLst>
            <a:ext uri="{FF2B5EF4-FFF2-40B4-BE49-F238E27FC236}">
              <a16:creationId xmlns:a16="http://schemas.microsoft.com/office/drawing/2014/main" id="{42B0EB66-74D5-4DD3-8612-58D53A089467}"/>
            </a:ext>
          </a:extLst>
        </xdr:cNvPr>
        <xdr:cNvSpPr txBox="1"/>
      </xdr:nvSpPr>
      <xdr:spPr>
        <a:xfrm>
          <a:off x="312421" y="1362891"/>
          <a:ext cx="1005840" cy="456111"/>
        </a:xfrm>
        <a:prstGeom prst="rect">
          <a:avLst/>
        </a:prstGeom>
        <a:no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B636E2-7E0A-4C36-AF00-D84ABC81D6F3}" type="TxLink">
            <a:rPr lang="en-US" sz="1800" b="1" i="0" u="none" strike="noStrike">
              <a:ln>
                <a:solidFill>
                  <a:schemeClr val="tx2">
                    <a:lumMod val="90000"/>
                    <a:lumOff val="10000"/>
                  </a:schemeClr>
                </a:solidFill>
              </a:ln>
              <a:solidFill>
                <a:schemeClr val="bg1"/>
              </a:solidFill>
              <a:latin typeface="Aptos Narrow"/>
              <a:ea typeface="+mn-ea"/>
              <a:cs typeface="+mn-cs"/>
            </a:rPr>
            <a:pPr marL="0" indent="0"/>
            <a:t>11,997</a:t>
          </a:fld>
          <a:endParaRPr lang="en-IN" sz="1800" b="1" i="0" u="none" strike="noStrike">
            <a:ln>
              <a:solidFill>
                <a:schemeClr val="tx2">
                  <a:lumMod val="90000"/>
                  <a:lumOff val="10000"/>
                </a:schemeClr>
              </a:solidFill>
            </a:ln>
            <a:solidFill>
              <a:schemeClr val="bg1"/>
            </a:solidFill>
            <a:latin typeface="Aptos Narrow"/>
            <a:ea typeface="+mn-ea"/>
            <a:cs typeface="+mn-cs"/>
          </a:endParaRPr>
        </a:p>
      </xdr:txBody>
    </xdr:sp>
    <xdr:clientData/>
  </xdr:twoCellAnchor>
  <xdr:twoCellAnchor>
    <xdr:from>
      <xdr:col>0</xdr:col>
      <xdr:colOff>272144</xdr:colOff>
      <xdr:row>6</xdr:row>
      <xdr:rowOff>0</xdr:rowOff>
    </xdr:from>
    <xdr:to>
      <xdr:col>1</xdr:col>
      <xdr:colOff>1088572</xdr:colOff>
      <xdr:row>7</xdr:row>
      <xdr:rowOff>97971</xdr:rowOff>
    </xdr:to>
    <xdr:sp macro="" textlink="">
      <xdr:nvSpPr>
        <xdr:cNvPr id="14" name="TextBox 13">
          <a:extLst>
            <a:ext uri="{FF2B5EF4-FFF2-40B4-BE49-F238E27FC236}">
              <a16:creationId xmlns:a16="http://schemas.microsoft.com/office/drawing/2014/main" id="{6912177C-5756-A84E-CE3F-8600B2294081}"/>
            </a:ext>
          </a:extLst>
        </xdr:cNvPr>
        <xdr:cNvSpPr txBox="1"/>
      </xdr:nvSpPr>
      <xdr:spPr>
        <a:xfrm>
          <a:off x="272144" y="1110343"/>
          <a:ext cx="1132114"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t>🛒</a:t>
          </a:r>
          <a:r>
            <a:rPr lang="en-IN" sz="1200" b="1">
              <a:ln>
                <a:noFill/>
              </a:ln>
              <a:solidFill>
                <a:schemeClr val="bg1"/>
              </a:solidFill>
            </a:rPr>
            <a:t>Quantity</a:t>
          </a:r>
        </a:p>
      </xdr:txBody>
    </xdr:sp>
    <xdr:clientData/>
  </xdr:twoCellAnchor>
  <xdr:twoCellAnchor>
    <xdr:from>
      <xdr:col>0</xdr:col>
      <xdr:colOff>250371</xdr:colOff>
      <xdr:row>2</xdr:row>
      <xdr:rowOff>76199</xdr:rowOff>
    </xdr:from>
    <xdr:to>
      <xdr:col>1</xdr:col>
      <xdr:colOff>979715</xdr:colOff>
      <xdr:row>3</xdr:row>
      <xdr:rowOff>174171</xdr:rowOff>
    </xdr:to>
    <xdr:sp macro="" textlink="">
      <xdr:nvSpPr>
        <xdr:cNvPr id="15" name="TextBox 14">
          <a:extLst>
            <a:ext uri="{FF2B5EF4-FFF2-40B4-BE49-F238E27FC236}">
              <a16:creationId xmlns:a16="http://schemas.microsoft.com/office/drawing/2014/main" id="{417B9BCB-9148-44F6-A2CA-8694A73DDB38}"/>
            </a:ext>
          </a:extLst>
        </xdr:cNvPr>
        <xdr:cNvSpPr txBox="1"/>
      </xdr:nvSpPr>
      <xdr:spPr>
        <a:xfrm>
          <a:off x="250371" y="446313"/>
          <a:ext cx="1045030"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ln>
                <a:solidFill>
                  <a:schemeClr val="bg1"/>
                </a:solidFill>
              </a:ln>
            </a:rPr>
            <a:t>👕</a:t>
          </a:r>
          <a:r>
            <a:rPr lang="en-IN" sz="1200" b="1">
              <a:ln>
                <a:noFill/>
              </a:ln>
              <a:solidFill>
                <a:schemeClr val="bg1"/>
              </a:solidFill>
            </a:rPr>
            <a:t>Orders</a:t>
          </a:r>
        </a:p>
      </xdr:txBody>
    </xdr:sp>
    <xdr:clientData/>
  </xdr:twoCellAnchor>
  <xdr:twoCellAnchor>
    <xdr:from>
      <xdr:col>10</xdr:col>
      <xdr:colOff>598781</xdr:colOff>
      <xdr:row>52</xdr:row>
      <xdr:rowOff>121540</xdr:rowOff>
    </xdr:from>
    <xdr:to>
      <xdr:col>12</xdr:col>
      <xdr:colOff>478383</xdr:colOff>
      <xdr:row>55</xdr:row>
      <xdr:rowOff>66031</xdr:rowOff>
    </xdr:to>
    <xdr:sp macro="" textlink="">
      <xdr:nvSpPr>
        <xdr:cNvPr id="1025" name="Text Box 1">
          <a:extLst>
            <a:ext uri="{FF2B5EF4-FFF2-40B4-BE49-F238E27FC236}">
              <a16:creationId xmlns:a16="http://schemas.microsoft.com/office/drawing/2014/main" id="{0AEFC7B7-1198-F97A-B65A-8D66A6930389}"/>
            </a:ext>
          </a:extLst>
        </xdr:cNvPr>
        <xdr:cNvSpPr txBox="1">
          <a:spLocks noChangeArrowheads="1"/>
        </xdr:cNvSpPr>
      </xdr:nvSpPr>
      <xdr:spPr bwMode="auto">
        <a:xfrm rot="10800000" flipH="1" flipV="1">
          <a:off x="6106952" y="9744511"/>
          <a:ext cx="1098802" cy="499663"/>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xdr:from>
      <xdr:col>0</xdr:col>
      <xdr:colOff>250373</xdr:colOff>
      <xdr:row>9</xdr:row>
      <xdr:rowOff>108857</xdr:rowOff>
    </xdr:from>
    <xdr:to>
      <xdr:col>1</xdr:col>
      <xdr:colOff>925285</xdr:colOff>
      <xdr:row>10</xdr:row>
      <xdr:rowOff>152399</xdr:rowOff>
    </xdr:to>
    <xdr:sp macro="" textlink="">
      <xdr:nvSpPr>
        <xdr:cNvPr id="16" name="TextBox 15">
          <a:extLst>
            <a:ext uri="{FF2B5EF4-FFF2-40B4-BE49-F238E27FC236}">
              <a16:creationId xmlns:a16="http://schemas.microsoft.com/office/drawing/2014/main" id="{818D5612-F4A8-4681-6831-51E33C47199A}"/>
            </a:ext>
          </a:extLst>
        </xdr:cNvPr>
        <xdr:cNvSpPr txBox="1"/>
      </xdr:nvSpPr>
      <xdr:spPr>
        <a:xfrm>
          <a:off x="250373" y="1774371"/>
          <a:ext cx="990598" cy="228599"/>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
          </a:r>
          <a:r>
            <a:rPr lang="en-IN" sz="1200" b="1">
              <a:solidFill>
                <a:schemeClr val="bg1"/>
              </a:solidFill>
            </a:rPr>
            <a:t>Amount</a:t>
          </a:r>
        </a:p>
      </xdr:txBody>
    </xdr:sp>
    <xdr:clientData/>
  </xdr:twoCellAnchor>
  <xdr:twoCellAnchor>
    <xdr:from>
      <xdr:col>0</xdr:col>
      <xdr:colOff>304800</xdr:colOff>
      <xdr:row>13</xdr:row>
      <xdr:rowOff>141514</xdr:rowOff>
    </xdr:from>
    <xdr:to>
      <xdr:col>1</xdr:col>
      <xdr:colOff>925285</xdr:colOff>
      <xdr:row>15</xdr:row>
      <xdr:rowOff>76199</xdr:rowOff>
    </xdr:to>
    <xdr:sp macro="" textlink="">
      <xdr:nvSpPr>
        <xdr:cNvPr id="17" name="TextBox 16">
          <a:extLst>
            <a:ext uri="{FF2B5EF4-FFF2-40B4-BE49-F238E27FC236}">
              <a16:creationId xmlns:a16="http://schemas.microsoft.com/office/drawing/2014/main" id="{CC4E0639-E317-5ED7-2126-7BCFDA2D8379}"/>
            </a:ext>
          </a:extLst>
        </xdr:cNvPr>
        <xdr:cNvSpPr txBox="1"/>
      </xdr:nvSpPr>
      <xdr:spPr>
        <a:xfrm>
          <a:off x="304800" y="2547257"/>
          <a:ext cx="93617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
          </a:r>
          <a:r>
            <a:rPr lang="en-IN" sz="1200" b="1">
              <a:solidFill>
                <a:schemeClr val="bg1"/>
              </a:solidFill>
            </a:rPr>
            <a:t>Rating</a:t>
          </a:r>
        </a:p>
      </xdr:txBody>
    </xdr:sp>
    <xdr:clientData/>
  </xdr:twoCellAnchor>
  <xdr:twoCellAnchor>
    <xdr:from>
      <xdr:col>1</xdr:col>
      <xdr:colOff>7620</xdr:colOff>
      <xdr:row>17</xdr:row>
      <xdr:rowOff>113211</xdr:rowOff>
    </xdr:from>
    <xdr:to>
      <xdr:col>1</xdr:col>
      <xdr:colOff>1371600</xdr:colOff>
      <xdr:row>19</xdr:row>
      <xdr:rowOff>181791</xdr:rowOff>
    </xdr:to>
    <xdr:sp macro="" textlink="">
      <xdr:nvSpPr>
        <xdr:cNvPr id="18" name="TextBox 17">
          <a:extLst>
            <a:ext uri="{FF2B5EF4-FFF2-40B4-BE49-F238E27FC236}">
              <a16:creationId xmlns:a16="http://schemas.microsoft.com/office/drawing/2014/main" id="{F23883E3-76F6-CD48-F05B-A041B9378422}"/>
            </a:ext>
          </a:extLst>
        </xdr:cNvPr>
        <xdr:cNvSpPr txBox="1"/>
      </xdr:nvSpPr>
      <xdr:spPr>
        <a:xfrm>
          <a:off x="323306" y="3259182"/>
          <a:ext cx="1363980" cy="438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
          </a:r>
          <a:r>
            <a:rPr lang="en-IN" sz="1200" b="1">
              <a:solidFill>
                <a:schemeClr val="bg1"/>
              </a:solidFill>
            </a:rPr>
            <a:t>Days to Deliver</a:t>
          </a:r>
        </a:p>
      </xdr:txBody>
    </xdr:sp>
    <xdr:clientData/>
  </xdr:twoCellAnchor>
  <xdr:twoCellAnchor>
    <xdr:from>
      <xdr:col>2</xdr:col>
      <xdr:colOff>263133</xdr:colOff>
      <xdr:row>1</xdr:row>
      <xdr:rowOff>0</xdr:rowOff>
    </xdr:from>
    <xdr:to>
      <xdr:col>11</xdr:col>
      <xdr:colOff>68418</xdr:colOff>
      <xdr:row>18</xdr:row>
      <xdr:rowOff>21771</xdr:rowOff>
    </xdr:to>
    <xdr:graphicFrame macro="">
      <xdr:nvGraphicFramePr>
        <xdr:cNvPr id="24" name="Chart 23">
          <a:extLst>
            <a:ext uri="{FF2B5EF4-FFF2-40B4-BE49-F238E27FC236}">
              <a16:creationId xmlns:a16="http://schemas.microsoft.com/office/drawing/2014/main" id="{FA99F761-BBDE-4FF2-A836-322CA86BA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389106</xdr:colOff>
      <xdr:row>1</xdr:row>
      <xdr:rowOff>32424</xdr:rowOff>
    </xdr:from>
    <xdr:to>
      <xdr:col>17</xdr:col>
      <xdr:colOff>555172</xdr:colOff>
      <xdr:row>17</xdr:row>
      <xdr:rowOff>163286</xdr:rowOff>
    </xdr:to>
    <xdr:sp macro="" textlink="">
      <xdr:nvSpPr>
        <xdr:cNvPr id="33" name="Rectangle 32">
          <a:extLst>
            <a:ext uri="{FF2B5EF4-FFF2-40B4-BE49-F238E27FC236}">
              <a16:creationId xmlns:a16="http://schemas.microsoft.com/office/drawing/2014/main" id="{BD33DD62-C45F-988B-D35C-F4EB6CA73D59}"/>
            </a:ext>
          </a:extLst>
        </xdr:cNvPr>
        <xdr:cNvSpPr/>
      </xdr:nvSpPr>
      <xdr:spPr>
        <a:xfrm>
          <a:off x="6506877" y="217481"/>
          <a:ext cx="3823666" cy="30917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500744</xdr:colOff>
          <xdr:row>5</xdr:row>
          <xdr:rowOff>185056</xdr:rowOff>
        </xdr:from>
        <xdr:to>
          <xdr:col>17</xdr:col>
          <xdr:colOff>402772</xdr:colOff>
          <xdr:row>15</xdr:row>
          <xdr:rowOff>0</xdr:rowOff>
        </xdr:to>
        <xdr:pic>
          <xdr:nvPicPr>
            <xdr:cNvPr id="32" name="Picture 31">
              <a:extLst>
                <a:ext uri="{FF2B5EF4-FFF2-40B4-BE49-F238E27FC236}">
                  <a16:creationId xmlns:a16="http://schemas.microsoft.com/office/drawing/2014/main" id="{D3D49F1A-B9A7-203D-E3EF-B93692FE0EC8}"/>
                </a:ext>
              </a:extLst>
            </xdr:cNvPr>
            <xdr:cNvPicPr>
              <a:picLocks noChangeAspect="1" noChangeArrowheads="1"/>
              <a:extLst>
                <a:ext uri="{84589F7E-364E-4C9E-8A38-B11213B215E9}">
                  <a14:cameraTool cellRange="pivot2!$H$4:$L$9" spid="_x0000_s1064"/>
                </a:ext>
              </a:extLst>
            </xdr:cNvPicPr>
          </xdr:nvPicPr>
          <xdr:blipFill>
            <a:blip xmlns:r="http://schemas.openxmlformats.org/officeDocument/2006/relationships" r:embed="rId2"/>
            <a:srcRect/>
            <a:stretch>
              <a:fillRect/>
            </a:stretch>
          </xdr:blipFill>
          <xdr:spPr bwMode="auto">
            <a:xfrm>
              <a:off x="6618515" y="1110342"/>
              <a:ext cx="3559628" cy="16655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217714</xdr:colOff>
      <xdr:row>1</xdr:row>
      <xdr:rowOff>21772</xdr:rowOff>
    </xdr:from>
    <xdr:to>
      <xdr:col>26</xdr:col>
      <xdr:colOff>186446</xdr:colOff>
      <xdr:row>18</xdr:row>
      <xdr:rowOff>-1</xdr:rowOff>
    </xdr:to>
    <xdr:graphicFrame macro="">
      <xdr:nvGraphicFramePr>
        <xdr:cNvPr id="34" name="Chart 33">
          <a:extLst>
            <a:ext uri="{FF2B5EF4-FFF2-40B4-BE49-F238E27FC236}">
              <a16:creationId xmlns:a16="http://schemas.microsoft.com/office/drawing/2014/main" id="{37B6D057-817C-4478-AE00-67E83BB5F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258431</xdr:colOff>
      <xdr:row>19</xdr:row>
      <xdr:rowOff>121595</xdr:rowOff>
    </xdr:from>
    <xdr:to>
      <xdr:col>11</xdr:col>
      <xdr:colOff>72957</xdr:colOff>
      <xdr:row>41</xdr:row>
      <xdr:rowOff>65313</xdr:rowOff>
    </xdr:to>
    <xdr:graphicFrame macro="">
      <xdr:nvGraphicFramePr>
        <xdr:cNvPr id="36" name="Chart 35">
          <a:extLst>
            <a:ext uri="{FF2B5EF4-FFF2-40B4-BE49-F238E27FC236}">
              <a16:creationId xmlns:a16="http://schemas.microsoft.com/office/drawing/2014/main" id="{8F6202AA-E983-4EB1-BF49-D7F13231D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56745</xdr:colOff>
      <xdr:row>30</xdr:row>
      <xdr:rowOff>72957</xdr:rowOff>
    </xdr:from>
    <xdr:to>
      <xdr:col>8</xdr:col>
      <xdr:colOff>453957</xdr:colOff>
      <xdr:row>37</xdr:row>
      <xdr:rowOff>24319</xdr:rowOff>
    </xdr:to>
    <xdr:graphicFrame macro="">
      <xdr:nvGraphicFramePr>
        <xdr:cNvPr id="39" name="Chart 38">
          <a:extLst>
            <a:ext uri="{FF2B5EF4-FFF2-40B4-BE49-F238E27FC236}">
              <a16:creationId xmlns:a16="http://schemas.microsoft.com/office/drawing/2014/main" id="{70B72B0A-93FA-4384-9BE1-A3F7CC8A1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323283</xdr:colOff>
      <xdr:row>19</xdr:row>
      <xdr:rowOff>145915</xdr:rowOff>
    </xdr:from>
    <xdr:to>
      <xdr:col>17</xdr:col>
      <xdr:colOff>559341</xdr:colOff>
      <xdr:row>41</xdr:row>
      <xdr:rowOff>87086</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794107F3-E93B-4B04-9352-3457CA6294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19283" y="3620635"/>
              <a:ext cx="3893658" cy="39645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195943</xdr:colOff>
      <xdr:row>19</xdr:row>
      <xdr:rowOff>162129</xdr:rowOff>
    </xdr:from>
    <xdr:to>
      <xdr:col>26</xdr:col>
      <xdr:colOff>163285</xdr:colOff>
      <xdr:row>29</xdr:row>
      <xdr:rowOff>64852</xdr:rowOff>
    </xdr:to>
    <xdr:graphicFrame macro="">
      <xdr:nvGraphicFramePr>
        <xdr:cNvPr id="42" name="Chart 41">
          <a:extLst>
            <a:ext uri="{FF2B5EF4-FFF2-40B4-BE49-F238E27FC236}">
              <a16:creationId xmlns:a16="http://schemas.microsoft.com/office/drawing/2014/main" id="{038F965A-63FC-4C6F-ABA9-8FC203EDA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206830</xdr:colOff>
      <xdr:row>30</xdr:row>
      <xdr:rowOff>145916</xdr:rowOff>
    </xdr:from>
    <xdr:to>
      <xdr:col>26</xdr:col>
      <xdr:colOff>130628</xdr:colOff>
      <xdr:row>41</xdr:row>
      <xdr:rowOff>95251</xdr:rowOff>
    </xdr:to>
    <xdr:graphicFrame macro="">
      <xdr:nvGraphicFramePr>
        <xdr:cNvPr id="43" name="Chart 42">
          <a:extLst>
            <a:ext uri="{FF2B5EF4-FFF2-40B4-BE49-F238E27FC236}">
              <a16:creationId xmlns:a16="http://schemas.microsoft.com/office/drawing/2014/main" id="{CB87E923-AB8A-42F1-968F-EEA551974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267743</xdr:colOff>
      <xdr:row>21</xdr:row>
      <xdr:rowOff>124376</xdr:rowOff>
    </xdr:from>
    <xdr:to>
      <xdr:col>1</xdr:col>
      <xdr:colOff>1410743</xdr:colOff>
      <xdr:row>32</xdr:row>
      <xdr:rowOff>18993</xdr:rowOff>
    </xdr:to>
    <mc:AlternateContent xmlns:mc="http://schemas.openxmlformats.org/markup-compatibility/2006" xmlns:a14="http://schemas.microsoft.com/office/drawing/2010/main">
      <mc:Choice Requires="a14">
        <xdr:graphicFrame macro="">
          <xdr:nvGraphicFramePr>
            <xdr:cNvPr id="44" name="Order Mode">
              <a:extLst>
                <a:ext uri="{FF2B5EF4-FFF2-40B4-BE49-F238E27FC236}">
                  <a16:creationId xmlns:a16="http://schemas.microsoft.com/office/drawing/2014/main" id="{685FC9EF-6B26-4C09-93D6-79B08BC7444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67743" y="4010576"/>
              <a:ext cx="1458686" cy="1930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278628</xdr:colOff>
      <xdr:row>33</xdr:row>
      <xdr:rowOff>26867</xdr:rowOff>
    </xdr:from>
    <xdr:to>
      <xdr:col>1</xdr:col>
      <xdr:colOff>1397309</xdr:colOff>
      <xdr:row>41</xdr:row>
      <xdr:rowOff>174172</xdr:rowOff>
    </xdr:to>
    <mc:AlternateContent xmlns:mc="http://schemas.openxmlformats.org/markup-compatibility/2006" xmlns:a14="http://schemas.microsoft.com/office/drawing/2010/main">
      <mc:Choice Requires="a14">
        <xdr:graphicFrame macro="">
          <xdr:nvGraphicFramePr>
            <xdr:cNvPr id="45" name="Gender Value">
              <a:extLst>
                <a:ext uri="{FF2B5EF4-FFF2-40B4-BE49-F238E27FC236}">
                  <a16:creationId xmlns:a16="http://schemas.microsoft.com/office/drawing/2014/main" id="{3904622D-C937-4D7D-A6D3-FF3C043DE08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78628" y="6133753"/>
              <a:ext cx="1434367" cy="1627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397211</xdr:colOff>
      <xdr:row>1</xdr:row>
      <xdr:rowOff>162127</xdr:rowOff>
    </xdr:from>
    <xdr:to>
      <xdr:col>16</xdr:col>
      <xdr:colOff>389105</xdr:colOff>
      <xdr:row>3</xdr:row>
      <xdr:rowOff>64851</xdr:rowOff>
    </xdr:to>
    <xdr:sp macro="" textlink="">
      <xdr:nvSpPr>
        <xdr:cNvPr id="46" name="TextBox 45">
          <a:extLst>
            <a:ext uri="{FF2B5EF4-FFF2-40B4-BE49-F238E27FC236}">
              <a16:creationId xmlns:a16="http://schemas.microsoft.com/office/drawing/2014/main" id="{2524B608-B846-8720-2C7E-78CAA83429F3}"/>
            </a:ext>
          </a:extLst>
        </xdr:cNvPr>
        <xdr:cNvSpPr txBox="1"/>
      </xdr:nvSpPr>
      <xdr:spPr>
        <a:xfrm>
          <a:off x="7124582" y="347184"/>
          <a:ext cx="2430294" cy="2728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How they like to buy?</a:t>
          </a:r>
        </a:p>
      </xdr:txBody>
    </xdr:sp>
    <xdr:clientData/>
  </xdr:twoCellAnchor>
  <xdr:twoCellAnchor editAs="oneCell">
    <xdr:from>
      <xdr:col>0</xdr:col>
      <xdr:colOff>195943</xdr:colOff>
      <xdr:row>0</xdr:row>
      <xdr:rowOff>108856</xdr:rowOff>
    </xdr:from>
    <xdr:to>
      <xdr:col>1</xdr:col>
      <xdr:colOff>1423587</xdr:colOff>
      <xdr:row>2</xdr:row>
      <xdr:rowOff>71967</xdr:rowOff>
    </xdr:to>
    <xdr:pic>
      <xdr:nvPicPr>
        <xdr:cNvPr id="48" name="Picture 47">
          <a:extLst>
            <a:ext uri="{FF2B5EF4-FFF2-40B4-BE49-F238E27FC236}">
              <a16:creationId xmlns:a16="http://schemas.microsoft.com/office/drawing/2014/main" id="{3961276B-E7DC-4C32-9847-B568A63A22B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95943" y="108856"/>
          <a:ext cx="1543330" cy="3332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9.575030439817" createdVersion="8" refreshedVersion="8" minRefreshableVersion="3" recordCount="2400" xr:uid="{9C52A0D0-28A8-48D9-AFF5-167C505B088F}">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429756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B34923-76FB-4A08-B7CC-5BD3884192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A3260E-E2B1-4AD1-A9C2-EF95C138F7E0}" name="chart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formats count="2">
    <format dxfId="1">
      <pivotArea collapsedLevelsAreSubtotals="1" fieldPosition="0">
        <references count="2">
          <reference field="4294967294" count="1" selected="0">
            <x v="1"/>
          </reference>
          <reference field="13" count="1">
            <x v="0"/>
          </reference>
        </references>
      </pivotArea>
    </format>
    <format dxfId="0">
      <pivotArea outline="0" fieldPosition="0">
        <references count="1">
          <reference field="4294967294" count="1">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6165C-CFD7-4FC5-B55A-CB6D5DDD600C}" name="chart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h="1" x="0"/>
        <item h="1" x="3"/>
        <item h="1" x="4"/>
        <item h="1"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A3D364-F9A0-4744-B0E7-3DB23D7AFBE7}" name="chart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C254CA-D87F-4147-9A67-6A3DAE82F24B}" name="chart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0"/>
    </i>
    <i>
      <x v="4"/>
    </i>
    <i>
      <x v="12"/>
    </i>
    <i>
      <x v="5"/>
    </i>
    <i>
      <x v="11"/>
    </i>
    <i>
      <x v="14"/>
    </i>
    <i>
      <x v="1"/>
    </i>
    <i>
      <x v="17"/>
    </i>
    <i>
      <x v="9"/>
    </i>
    <i>
      <x v="2"/>
    </i>
    <i>
      <x v="3"/>
    </i>
    <i>
      <x v="19"/>
    </i>
    <i>
      <x v="8"/>
    </i>
    <i>
      <x v="15"/>
    </i>
    <i>
      <x/>
    </i>
    <i>
      <x v="7"/>
    </i>
    <i t="grand">
      <x/>
    </i>
  </rowItems>
  <colFields count="1">
    <field x="14"/>
  </colFields>
  <colItems count="5">
    <i>
      <x/>
    </i>
    <i>
      <x v="1"/>
    </i>
    <i>
      <x v="2"/>
    </i>
    <i>
      <x v="3"/>
    </i>
    <i t="grand">
      <x/>
    </i>
  </colItems>
  <dataFields count="1">
    <dataField name="Sum of Quantity" fld="2" baseField="0" baseItem="0"/>
  </dataFields>
  <chartFormats count="4">
    <chartFormat chart="29" format="8" series="1">
      <pivotArea type="data" outline="0" fieldPosition="0">
        <references count="2">
          <reference field="4294967294" count="1" selected="0">
            <x v="0"/>
          </reference>
          <reference field="14" count="1" selected="0">
            <x v="0"/>
          </reference>
        </references>
      </pivotArea>
    </chartFormat>
    <chartFormat chart="29" format="9" series="1">
      <pivotArea type="data" outline="0" fieldPosition="0">
        <references count="2">
          <reference field="4294967294" count="1" selected="0">
            <x v="0"/>
          </reference>
          <reference field="14" count="1" selected="0">
            <x v="1"/>
          </reference>
        </references>
      </pivotArea>
    </chartFormat>
    <chartFormat chart="29" format="10" series="1">
      <pivotArea type="data" outline="0" fieldPosition="0">
        <references count="2">
          <reference field="4294967294" count="1" selected="0">
            <x v="0"/>
          </reference>
          <reference field="14" count="1" selected="0">
            <x v="2"/>
          </reference>
        </references>
      </pivotArea>
    </chartFormat>
    <chartFormat chart="29"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29F805-8082-45EE-A060-90C51506F867}" name="chart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H3:I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7" format="0" series="1">
      <pivotArea type="data" outline="0" fieldPosition="0">
        <references count="2">
          <reference field="4294967294" count="1" selected="0">
            <x v="0"/>
          </reference>
          <reference field="14" count="1" selected="0">
            <x v="0"/>
          </reference>
        </references>
      </pivotArea>
    </chartFormat>
    <chartFormat chart="27" format="1" series="1">
      <pivotArea type="data" outline="0" fieldPosition="0">
        <references count="2">
          <reference field="4294967294" count="1" selected="0">
            <x v="0"/>
          </reference>
          <reference field="14" count="1" selected="0">
            <x v="1"/>
          </reference>
        </references>
      </pivotArea>
    </chartFormat>
    <chartFormat chart="27" format="2" series="1">
      <pivotArea type="data" outline="0" fieldPosition="0">
        <references count="2">
          <reference field="4294967294" count="1" selected="0">
            <x v="0"/>
          </reference>
          <reference field="14" count="1" selected="0">
            <x v="2"/>
          </reference>
        </references>
      </pivotArea>
    </chartFormat>
    <chartFormat chart="27" format="3" series="1">
      <pivotArea type="data" outline="0" fieldPosition="0">
        <references count="2">
          <reference field="4294967294" count="1" selected="0">
            <x v="0"/>
          </reference>
          <reference field="14" count="1" selected="0">
            <x v="3"/>
          </reference>
        </references>
      </pivotArea>
    </chartFormat>
    <chartFormat chart="29" format="8" series="1">
      <pivotArea type="data" outline="0" fieldPosition="0">
        <references count="2">
          <reference field="4294967294" count="1" selected="0">
            <x v="0"/>
          </reference>
          <reference field="14" count="1" selected="0">
            <x v="0"/>
          </reference>
        </references>
      </pivotArea>
    </chartFormat>
    <chartFormat chart="29" format="9" series="1">
      <pivotArea type="data" outline="0" fieldPosition="0">
        <references count="2">
          <reference field="4294967294" count="1" selected="0">
            <x v="0"/>
          </reference>
          <reference field="14" count="1" selected="0">
            <x v="1"/>
          </reference>
        </references>
      </pivotArea>
    </chartFormat>
    <chartFormat chart="29" format="10" series="1">
      <pivotArea type="data" outline="0" fieldPosition="0">
        <references count="2">
          <reference field="4294967294" count="1" selected="0">
            <x v="0"/>
          </reference>
          <reference field="14" count="1" selected="0">
            <x v="2"/>
          </reference>
        </references>
      </pivotArea>
    </chartFormat>
    <chartFormat chart="29" format="11" series="1">
      <pivotArea type="data" outline="0" fieldPosition="0">
        <references count="2">
          <reference field="4294967294" count="1" selected="0">
            <x v="0"/>
          </reference>
          <reference field="14" count="1" selected="0">
            <x v="3"/>
          </reference>
        </references>
      </pivotArea>
    </chartFormat>
    <chartFormat chart="50" format="6" series="1">
      <pivotArea type="data" outline="0" fieldPosition="0">
        <references count="1">
          <reference field="4294967294" count="1" selected="0">
            <x v="0"/>
          </reference>
        </references>
      </pivotArea>
    </chartFormat>
    <chartFormat chart="50" format="7">
      <pivotArea type="data" outline="0" fieldPosition="0">
        <references count="2">
          <reference field="4294967294" count="1" selected="0">
            <x v="0"/>
          </reference>
          <reference field="14" count="1" selected="0">
            <x v="0"/>
          </reference>
        </references>
      </pivotArea>
    </chartFormat>
    <chartFormat chart="50" format="8">
      <pivotArea type="data" outline="0" fieldPosition="0">
        <references count="2">
          <reference field="4294967294" count="1" selected="0">
            <x v="0"/>
          </reference>
          <reference field="14" count="1" selected="0">
            <x v="1"/>
          </reference>
        </references>
      </pivotArea>
    </chartFormat>
    <chartFormat chart="50" format="9">
      <pivotArea type="data" outline="0" fieldPosition="0">
        <references count="2">
          <reference field="4294967294" count="1" selected="0">
            <x v="0"/>
          </reference>
          <reference field="14" count="1" selected="0">
            <x v="2"/>
          </reference>
        </references>
      </pivotArea>
    </chartFormat>
    <chartFormat chart="50"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1CBC5-B216-48D6-AFAF-56F89A465033}" name="chart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46"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h="1" x="3"/>
        <item h="1" x="4"/>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43">
    <i>
      <x/>
      <x/>
    </i>
    <i r="1">
      <x v="2"/>
    </i>
    <i r="1">
      <x v="3"/>
    </i>
    <i r="1">
      <x v="5"/>
    </i>
    <i r="1">
      <x v="6"/>
    </i>
    <i r="1">
      <x v="9"/>
    </i>
    <i r="1">
      <x v="10"/>
    </i>
    <i r="1">
      <x v="11"/>
    </i>
    <i r="1">
      <x v="12"/>
    </i>
    <i r="1">
      <x v="14"/>
    </i>
    <i r="1">
      <x v="15"/>
    </i>
    <i r="1">
      <x v="16"/>
    </i>
    <i r="1">
      <x v="18"/>
    </i>
    <i r="1">
      <x v="19"/>
    </i>
    <i r="1">
      <x v="20"/>
    </i>
    <i r="1">
      <x v="22"/>
    </i>
    <i r="1">
      <x v="23"/>
    </i>
    <i r="1">
      <x v="26"/>
    </i>
    <i r="1">
      <x v="27"/>
    </i>
    <i r="1">
      <x v="28"/>
    </i>
    <i r="1">
      <x v="29"/>
    </i>
    <i r="1">
      <x v="30"/>
    </i>
    <i r="1">
      <x v="32"/>
    </i>
    <i r="1">
      <x v="33"/>
    </i>
    <i r="1">
      <x v="35"/>
    </i>
    <i r="1">
      <x v="36"/>
    </i>
    <i r="1">
      <x v="37"/>
    </i>
    <i r="1">
      <x v="38"/>
    </i>
    <i r="1">
      <x v="40"/>
    </i>
    <i r="1">
      <x v="41"/>
    </i>
    <i r="1">
      <x v="42"/>
    </i>
    <i r="1">
      <x v="43"/>
    </i>
    <i r="1">
      <x v="44"/>
    </i>
    <i r="1">
      <x v="46"/>
    </i>
    <i r="1">
      <x v="47"/>
    </i>
    <i r="1">
      <x v="48"/>
    </i>
    <i r="1">
      <x v="49"/>
    </i>
    <i r="1">
      <x v="51"/>
    </i>
    <i r="1">
      <x v="52"/>
    </i>
    <i r="1">
      <x v="53"/>
    </i>
    <i r="1">
      <x v="54"/>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781626-3BEB-4622-AD9D-289F6FC4D23A}" name="chart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5">
    <i>
      <x/>
    </i>
    <i>
      <x v="1"/>
    </i>
    <i>
      <x v="2"/>
    </i>
    <i>
      <x v="3"/>
    </i>
    <i>
      <x v="4"/>
    </i>
    <i>
      <x v="5"/>
    </i>
    <i>
      <x v="6"/>
    </i>
    <i>
      <x v="7"/>
    </i>
    <i>
      <x v="8"/>
    </i>
    <i>
      <x v="9"/>
    </i>
    <i>
      <x v="10"/>
    </i>
    <i>
      <x v="11"/>
    </i>
    <i>
      <x v="13"/>
    </i>
    <i>
      <x v="14"/>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049C6E-6C04-4031-BA16-AC93ED62BEF4}" name="chart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G26"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13" series="1">
      <pivotArea type="data" outline="0" fieldPosition="0">
        <references count="2">
          <reference field="4294967294" count="1" selected="0">
            <x v="0"/>
          </reference>
          <reference field="9" count="1" selected="0">
            <x v="0"/>
          </reference>
        </references>
      </pivotArea>
    </chartFormat>
    <chartFormat chart="11" format="14" series="1">
      <pivotArea type="data" outline="0" fieldPosition="0">
        <references count="2">
          <reference field="4294967294" count="1" selected="0">
            <x v="0"/>
          </reference>
          <reference field="9" count="1" selected="0">
            <x v="1"/>
          </reference>
        </references>
      </pivotArea>
    </chartFormat>
    <chartFormat chart="11" format="15" series="1">
      <pivotArea type="data" outline="0" fieldPosition="0">
        <references count="2">
          <reference field="4294967294" count="1" selected="0">
            <x v="0"/>
          </reference>
          <reference field="9" count="1" selected="0">
            <x v="2"/>
          </reference>
        </references>
      </pivotArea>
    </chartFormat>
    <chartFormat chart="11" format="16" series="1">
      <pivotArea type="data" outline="0" fieldPosition="0">
        <references count="2">
          <reference field="4294967294" count="1" selected="0">
            <x v="0"/>
          </reference>
          <reference field="9" count="1" selected="0">
            <x v="3"/>
          </reference>
        </references>
      </pivotArea>
    </chartFormat>
    <chartFormat chart="11"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8F31F9F-34AF-471B-8FC3-C57E5D3436E5}" sourceName="Order Mode">
  <pivotTables>
    <pivotTable tabId="24" name="chart18"/>
    <pivotTable tabId="19" name="chart11"/>
    <pivotTable tabId="19" name="PivotTable4"/>
    <pivotTable tabId="20" name="chart12"/>
    <pivotTable tabId="21" name="chart13"/>
    <pivotTable tabId="22" name="chart14"/>
    <pivotTable tabId="22" name="chart15"/>
    <pivotTable tabId="23" name="chart16"/>
    <pivotTable tabId="24" name="chart17"/>
  </pivotTables>
  <data>
    <tabular pivotCacheId="1429756709">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7FA54317-1D91-4290-B9E0-20799628B43A}" sourceName="Gender Value">
  <pivotTables>
    <pivotTable tabId="24" name="chart18"/>
    <pivotTable tabId="19" name="chart11"/>
    <pivotTable tabId="19" name="PivotTable4"/>
    <pivotTable tabId="20" name="chart12"/>
    <pivotTable tabId="21" name="chart13"/>
    <pivotTable tabId="22" name="chart14"/>
    <pivotTable tabId="22" name="chart15"/>
    <pivotTable tabId="23" name="chart16"/>
    <pivotTable tabId="24" name="chart17"/>
  </pivotTables>
  <data>
    <tabular pivotCacheId="142975670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20990C6-8D3D-499C-9503-C48A029B2678}" cache="Slicer_Order_Mode" caption="Order Mode" style="SlicerStyleOther2" rowHeight="247650"/>
  <slicer name="Gender Value" xr10:uid="{60B2E8BF-AF34-43B6-8482-C2C67FA133D3}" cache="Slicer_Gender_Value" caption="Gender Value"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6"/>
    <tableColumn id="7" xr3:uid="{43BB5DBF-46E1-4185-80C0-4361F55A385C}" name="Ship Date" dataDxfId="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4">
      <calculatedColumnFormula>orders[[#This Row],[Ship Date]]-orders[[#This Row],[Order Date]]</calculatedColumnFormula>
    </tableColumn>
    <tableColumn id="12" xr3:uid="{B071C0DA-87A9-4516-B4D9-4F5B7D3FF44A}" name="Weeknum" dataDxfId="3">
      <calculatedColumnFormula>WEEKNUM(orders[[#This Row],[Order Date]])</calculatedColumnFormula>
    </tableColumn>
    <tableColumn id="13" xr3:uid="{B8EA9E28-7541-4E76-9935-C26438661A18}" name="Gender Value" dataDxfId="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workbookViewId="0">
      <selection activeCell="P14" sqref="P14"/>
    </sheetView>
  </sheetViews>
  <sheetFormatPr defaultRowHeight="14.4"/>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 min="16" max="16" width="19.77734375"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B1" workbookViewId="0">
      <selection activeCell="H22" sqref="H22"/>
    </sheetView>
  </sheetViews>
  <sheetFormatPr defaultRowHeight="14.4"/>
  <cols>
    <col min="1" max="1" width="3.6640625" customWidth="1"/>
    <col min="2" max="2" width="33.33203125" customWidth="1"/>
  </cols>
  <sheetData>
    <row r="2" spans="2:2">
      <c r="B2" s="3" t="s">
        <v>2503</v>
      </c>
    </row>
    <row r="3" spans="2:2">
      <c r="B3" s="4" t="s">
        <v>2504</v>
      </c>
    </row>
    <row r="4" spans="2:2">
      <c r="B4" s="4" t="s">
        <v>2505</v>
      </c>
    </row>
    <row r="5" spans="2:2">
      <c r="B5" s="4" t="s">
        <v>2506</v>
      </c>
    </row>
    <row r="6" spans="2:2">
      <c r="B6" s="4" t="s">
        <v>2510</v>
      </c>
    </row>
    <row r="7" spans="2:2">
      <c r="B7" s="4" t="s">
        <v>2511</v>
      </c>
    </row>
    <row r="10" spans="2:2">
      <c r="B10" s="3" t="s">
        <v>2507</v>
      </c>
    </row>
    <row r="11" spans="2:2">
      <c r="B11" t="s">
        <v>2649</v>
      </c>
    </row>
    <row r="12" spans="2:2">
      <c r="B12" t="s">
        <v>2512</v>
      </c>
    </row>
    <row r="13" spans="2:2">
      <c r="B13" t="s">
        <v>2654</v>
      </c>
    </row>
    <row r="14" spans="2:2">
      <c r="B14" t="s">
        <v>2508</v>
      </c>
    </row>
    <row r="15" spans="2:2">
      <c r="B15" t="s">
        <v>2655</v>
      </c>
    </row>
    <row r="16" spans="2:2">
      <c r="B16" t="s">
        <v>2656</v>
      </c>
    </row>
    <row r="17" spans="2:2">
      <c r="B17" t="s">
        <v>2657</v>
      </c>
    </row>
    <row r="18" spans="2:2">
      <c r="B18" t="s">
        <v>2509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zoomScale="70" workbookViewId="0">
      <selection activeCell="AE34" sqref="AE34"/>
    </sheetView>
  </sheetViews>
  <sheetFormatPr defaultRowHeight="14.4"/>
  <cols>
    <col min="1" max="1" width="4.5546875" customWidth="1"/>
    <col min="2" max="2" width="24" customWidth="1"/>
    <col min="3" max="3" width="4.5546875" customWidth="1"/>
    <col min="4" max="4" width="5.33203125" customWidth="1"/>
    <col min="5" max="5" width="5.88671875" customWidth="1"/>
    <col min="6" max="6" width="5.33203125" customWidth="1"/>
    <col min="7" max="7" width="5" customWidth="1"/>
    <col min="8" max="8" width="7.5546875" customWidth="1"/>
    <col min="10" max="16" width="8.88671875" customWidth="1"/>
    <col min="22" max="22" width="5.33203125" customWidth="1"/>
    <col min="23" max="24" width="5" customWidth="1"/>
    <col min="25" max="25" width="4.77734375" customWidth="1"/>
    <col min="26" max="26" width="6.1093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CAE2D-614D-46C9-998E-D83E443A8B5D}">
  <dimension ref="B2:B35"/>
  <sheetViews>
    <sheetView topLeftCell="A3" workbookViewId="0">
      <selection activeCell="B26" sqref="B26"/>
    </sheetView>
  </sheetViews>
  <sheetFormatPr defaultRowHeight="14.4"/>
  <cols>
    <col min="1" max="1" width="5.109375" customWidth="1"/>
    <col min="2" max="2" width="100.109375" customWidth="1"/>
  </cols>
  <sheetData>
    <row r="2" spans="2:2">
      <c r="B2" s="3" t="s">
        <v>2666</v>
      </c>
    </row>
    <row r="3" spans="2:2">
      <c r="B3" s="25" t="s">
        <v>2679</v>
      </c>
    </row>
    <row r="4" spans="2:2">
      <c r="B4" s="4" t="s">
        <v>2667</v>
      </c>
    </row>
    <row r="5" spans="2:2">
      <c r="B5" s="4" t="s">
        <v>2668</v>
      </c>
    </row>
    <row r="6" spans="2:2">
      <c r="B6" s="4"/>
    </row>
    <row r="7" spans="2:2">
      <c r="B7" s="25" t="s">
        <v>2678</v>
      </c>
    </row>
    <row r="8" spans="2:2">
      <c r="B8" t="s">
        <v>2669</v>
      </c>
    </row>
    <row r="9" spans="2:2">
      <c r="B9" t="s">
        <v>2670</v>
      </c>
    </row>
    <row r="11" spans="2:2">
      <c r="B11" s="21" t="s">
        <v>2680</v>
      </c>
    </row>
    <row r="12" spans="2:2">
      <c r="B12" t="s">
        <v>2671</v>
      </c>
    </row>
    <row r="13" spans="2:2">
      <c r="B13" t="s">
        <v>2672</v>
      </c>
    </row>
    <row r="15" spans="2:2">
      <c r="B15" s="21" t="s">
        <v>2681</v>
      </c>
    </row>
    <row r="16" spans="2:2">
      <c r="B16" t="s">
        <v>2673</v>
      </c>
    </row>
    <row r="17" spans="2:2">
      <c r="B17" t="s">
        <v>2674</v>
      </c>
    </row>
    <row r="19" spans="2:2">
      <c r="B19" s="21" t="s">
        <v>2682</v>
      </c>
    </row>
    <row r="20" spans="2:2">
      <c r="B20" t="s">
        <v>2675</v>
      </c>
    </row>
    <row r="22" spans="2:2">
      <c r="B22" s="21" t="s">
        <v>2683</v>
      </c>
    </row>
    <row r="23" spans="2:2">
      <c r="B23" t="s">
        <v>2676</v>
      </c>
    </row>
    <row r="25" spans="2:2">
      <c r="B25" s="21" t="s">
        <v>2684</v>
      </c>
    </row>
    <row r="26" spans="2:2">
      <c r="B26" t="s">
        <v>2677</v>
      </c>
    </row>
    <row r="29" spans="2:2">
      <c r="B29" s="21" t="s">
        <v>2685</v>
      </c>
    </row>
    <row r="31" spans="2:2">
      <c r="B31" t="s">
        <v>2686</v>
      </c>
    </row>
    <row r="32" spans="2:2">
      <c r="B32" t="s">
        <v>2687</v>
      </c>
    </row>
    <row r="33" spans="2:2">
      <c r="B33" t="s">
        <v>2688</v>
      </c>
    </row>
    <row r="34" spans="2:2">
      <c r="B34" t="s">
        <v>2689</v>
      </c>
    </row>
    <row r="35" spans="2:2">
      <c r="B35" t="s">
        <v>2690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3B48D-C915-46F6-8C10-91620166CCE4}">
  <dimension ref="A3:E23"/>
  <sheetViews>
    <sheetView workbookViewId="0">
      <selection activeCell="E19" sqref="E19"/>
    </sheetView>
  </sheetViews>
  <sheetFormatPr defaultRowHeight="14.4"/>
  <cols>
    <col min="1" max="1" width="12.21875" bestFit="1" customWidth="1"/>
    <col min="2" max="2" width="14.21875" bestFit="1" customWidth="1"/>
    <col min="3" max="3" width="13.5546875" bestFit="1" customWidth="1"/>
    <col min="4" max="4" width="16.6640625" bestFit="1" customWidth="1"/>
    <col min="5" max="5" width="22.33203125" bestFit="1" customWidth="1"/>
  </cols>
  <sheetData>
    <row r="3" spans="1:5">
      <c r="A3" t="s">
        <v>2642</v>
      </c>
      <c r="B3" t="s">
        <v>2643</v>
      </c>
      <c r="C3" t="s">
        <v>2644</v>
      </c>
      <c r="D3" t="s">
        <v>2645</v>
      </c>
      <c r="E3" t="s">
        <v>2646</v>
      </c>
    </row>
    <row r="4" spans="1:5">
      <c r="A4">
        <v>569</v>
      </c>
      <c r="B4">
        <v>2666</v>
      </c>
      <c r="C4">
        <v>152796.40000000017</v>
      </c>
      <c r="D4">
        <v>3.9578207381370825</v>
      </c>
      <c r="E4">
        <v>2.2161687170474518</v>
      </c>
    </row>
    <row r="9" spans="1:5">
      <c r="A9" s="17" t="s">
        <v>2647</v>
      </c>
      <c r="B9" t="s">
        <v>2643</v>
      </c>
      <c r="C9" t="s">
        <v>2644</v>
      </c>
    </row>
    <row r="10" spans="1:5">
      <c r="A10" s="18">
        <v>1</v>
      </c>
      <c r="B10">
        <v>106</v>
      </c>
      <c r="C10" s="23">
        <v>5530.5999999999995</v>
      </c>
    </row>
    <row r="11" spans="1:5">
      <c r="A11" s="18">
        <v>2</v>
      </c>
      <c r="B11">
        <v>235</v>
      </c>
      <c r="C11" s="23">
        <v>11648.6</v>
      </c>
    </row>
    <row r="12" spans="1:5">
      <c r="A12" s="18">
        <v>3</v>
      </c>
      <c r="B12">
        <v>239</v>
      </c>
      <c r="C12" s="23">
        <v>14960.699999999999</v>
      </c>
    </row>
    <row r="13" spans="1:5">
      <c r="A13" s="18">
        <v>4</v>
      </c>
      <c r="B13">
        <v>186</v>
      </c>
      <c r="C13" s="23">
        <v>10358.900000000001</v>
      </c>
    </row>
    <row r="14" spans="1:5">
      <c r="A14" s="18">
        <v>5</v>
      </c>
      <c r="B14">
        <v>132</v>
      </c>
      <c r="C14" s="23">
        <v>7508.0000000000018</v>
      </c>
    </row>
    <row r="15" spans="1:5">
      <c r="A15" s="18">
        <v>6</v>
      </c>
      <c r="B15">
        <v>224</v>
      </c>
      <c r="C15" s="23">
        <v>14115.399999999998</v>
      </c>
    </row>
    <row r="16" spans="1:5">
      <c r="A16" s="18">
        <v>7</v>
      </c>
      <c r="B16">
        <v>226</v>
      </c>
      <c r="C16" s="23">
        <v>12354.4</v>
      </c>
    </row>
    <row r="17" spans="1:3">
      <c r="A17" s="18">
        <v>8</v>
      </c>
      <c r="B17">
        <v>253</v>
      </c>
      <c r="C17" s="23">
        <v>15048.500000000005</v>
      </c>
    </row>
    <row r="18" spans="1:3">
      <c r="A18" s="18">
        <v>9</v>
      </c>
      <c r="B18">
        <v>202</v>
      </c>
      <c r="C18" s="23">
        <v>10938.800000000001</v>
      </c>
    </row>
    <row r="19" spans="1:3">
      <c r="A19" s="18">
        <v>10</v>
      </c>
      <c r="B19">
        <v>217</v>
      </c>
      <c r="C19" s="23">
        <v>14980.4</v>
      </c>
    </row>
    <row r="20" spans="1:3">
      <c r="A20" s="18">
        <v>11</v>
      </c>
      <c r="B20">
        <v>202</v>
      </c>
      <c r="C20" s="23">
        <v>10512.100000000002</v>
      </c>
    </row>
    <row r="21" spans="1:3">
      <c r="A21" s="18">
        <v>12</v>
      </c>
      <c r="B21">
        <v>233</v>
      </c>
      <c r="C21" s="23">
        <v>12628</v>
      </c>
    </row>
    <row r="22" spans="1:3">
      <c r="A22" s="18">
        <v>13</v>
      </c>
      <c r="B22">
        <v>211</v>
      </c>
      <c r="C22" s="23">
        <v>12212.000000000002</v>
      </c>
    </row>
    <row r="23" spans="1:3">
      <c r="A23" s="18" t="s">
        <v>2648</v>
      </c>
      <c r="B23">
        <v>2666</v>
      </c>
      <c r="C23" s="23">
        <v>152796.4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4352-90A0-48B0-A6B8-065AC08CBC8D}">
  <dimension ref="A2:L9"/>
  <sheetViews>
    <sheetView workbookViewId="0">
      <selection activeCell="H4" sqref="H4:L9"/>
    </sheetView>
  </sheetViews>
  <sheetFormatPr defaultRowHeight="14.4"/>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3.6640625" customWidth="1"/>
    <col min="9" max="9" width="10.33203125" customWidth="1"/>
    <col min="10" max="10" width="10.88671875" customWidth="1"/>
    <col min="11" max="11" width="10.44140625" customWidth="1"/>
    <col min="12" max="12" width="10.77734375" customWidth="1"/>
  </cols>
  <sheetData>
    <row r="2" spans="1:12">
      <c r="H2" t="s">
        <v>2652</v>
      </c>
    </row>
    <row r="3" spans="1:12">
      <c r="A3" s="17" t="s">
        <v>2644</v>
      </c>
      <c r="B3" s="17" t="s">
        <v>2650</v>
      </c>
    </row>
    <row r="4" spans="1:12">
      <c r="A4" s="17" t="s">
        <v>2647</v>
      </c>
      <c r="B4" t="s">
        <v>2537</v>
      </c>
      <c r="C4" t="s">
        <v>2526</v>
      </c>
      <c r="D4" t="s">
        <v>2651</v>
      </c>
      <c r="E4" t="s">
        <v>2532</v>
      </c>
      <c r="F4" t="s">
        <v>2648</v>
      </c>
      <c r="H4" s="24"/>
      <c r="I4" s="24" t="str">
        <f>B4</f>
        <v>Female</v>
      </c>
      <c r="J4" s="24" t="str">
        <f t="shared" ref="J4:L4" si="0">C4</f>
        <v>Male</v>
      </c>
      <c r="K4" s="24" t="str">
        <f t="shared" si="0"/>
        <v>Other</v>
      </c>
      <c r="L4" s="24" t="str">
        <f t="shared" si="0"/>
        <v>Unknown</v>
      </c>
    </row>
    <row r="5" spans="1:12">
      <c r="A5" s="18" t="s">
        <v>35</v>
      </c>
      <c r="B5" s="19">
        <v>0.53189014924435396</v>
      </c>
      <c r="C5" s="19">
        <v>0.38862564824825718</v>
      </c>
      <c r="D5" s="19">
        <v>2.6778117809058331E-2</v>
      </c>
      <c r="E5" s="19">
        <v>5.2706084698330581E-2</v>
      </c>
      <c r="F5" s="19">
        <v>1</v>
      </c>
      <c r="H5" s="24" t="str">
        <f>A5</f>
        <v>Website</v>
      </c>
      <c r="I5" s="20">
        <f t="shared" ref="I5:L9" si="1">B5</f>
        <v>0.53189014924435396</v>
      </c>
      <c r="J5" s="20">
        <f t="shared" si="1"/>
        <v>0.38862564824825718</v>
      </c>
      <c r="K5" s="20">
        <f t="shared" si="1"/>
        <v>2.6778117809058331E-2</v>
      </c>
      <c r="L5" s="20">
        <f t="shared" si="1"/>
        <v>5.2706084698330581E-2</v>
      </c>
    </row>
    <row r="6" spans="1:12">
      <c r="A6" s="18" t="s">
        <v>2648</v>
      </c>
      <c r="B6" s="19">
        <v>0.53189014924435396</v>
      </c>
      <c r="C6" s="19">
        <v>0.38862564824825718</v>
      </c>
      <c r="D6" s="19">
        <v>2.6778117809058331E-2</v>
      </c>
      <c r="E6" s="19">
        <v>5.2706084698330581E-2</v>
      </c>
      <c r="F6" s="19">
        <v>1</v>
      </c>
      <c r="H6" s="24" t="str">
        <f t="shared" ref="H6:H9" si="2">A6</f>
        <v>Grand Total</v>
      </c>
      <c r="I6" s="20">
        <f t="shared" si="1"/>
        <v>0.53189014924435396</v>
      </c>
      <c r="J6" s="20">
        <f t="shared" si="1"/>
        <v>0.38862564824825718</v>
      </c>
      <c r="K6" s="20">
        <f t="shared" si="1"/>
        <v>2.6778117809058331E-2</v>
      </c>
      <c r="L6" s="20">
        <f t="shared" si="1"/>
        <v>5.2706084698330581E-2</v>
      </c>
    </row>
    <row r="7" spans="1:12">
      <c r="H7" s="24">
        <f t="shared" si="2"/>
        <v>0</v>
      </c>
      <c r="I7" s="20">
        <f t="shared" si="1"/>
        <v>0</v>
      </c>
      <c r="J7" s="20">
        <f t="shared" si="1"/>
        <v>0</v>
      </c>
      <c r="K7" s="20">
        <f t="shared" si="1"/>
        <v>0</v>
      </c>
      <c r="L7" s="20">
        <f t="shared" si="1"/>
        <v>0</v>
      </c>
    </row>
    <row r="8" spans="1:12">
      <c r="H8" s="24">
        <f t="shared" si="2"/>
        <v>0</v>
      </c>
      <c r="I8" s="20">
        <f t="shared" si="1"/>
        <v>0</v>
      </c>
      <c r="J8" s="20">
        <f t="shared" si="1"/>
        <v>0</v>
      </c>
      <c r="K8" s="20">
        <f t="shared" si="1"/>
        <v>0</v>
      </c>
      <c r="L8" s="20">
        <f t="shared" si="1"/>
        <v>0</v>
      </c>
    </row>
    <row r="9" spans="1:12">
      <c r="H9" s="24">
        <f t="shared" si="2"/>
        <v>0</v>
      </c>
      <c r="I9" s="20">
        <f t="shared" si="1"/>
        <v>0</v>
      </c>
      <c r="J9" s="20">
        <f t="shared" si="1"/>
        <v>0</v>
      </c>
      <c r="K9" s="20">
        <f t="shared" si="1"/>
        <v>0</v>
      </c>
      <c r="L9" s="20">
        <f t="shared" si="1"/>
        <v>0</v>
      </c>
    </row>
  </sheetData>
  <conditionalFormatting sqref="I5:L9">
    <cfRule type="colorScale" priority="1">
      <colorScale>
        <cfvo type="min"/>
        <cfvo type="max"/>
        <color rgb="FFA82A2A"/>
        <color rgb="FFFFEF9C"/>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A236-D430-4110-AEB9-65BF072B9F59}">
  <dimension ref="A3:B11"/>
  <sheetViews>
    <sheetView workbookViewId="0">
      <selection activeCell="A6" sqref="A4:A10"/>
      <pivotSelection pane="bottomRight" showHeader="1" axis="axisRow" activeRow="5" previousRow="5" click="1" r:id="rId1">
        <pivotArea dataOnly="0" labelOnly="1" fieldPosition="0">
          <references count="1">
            <reference field="15" count="0"/>
          </references>
        </pivotArea>
      </pivotSelection>
    </sheetView>
  </sheetViews>
  <sheetFormatPr defaultRowHeight="14.4"/>
  <cols>
    <col min="1" max="1" width="12.44140625" bestFit="1" customWidth="1"/>
    <col min="2" max="2" width="12.21875" bestFit="1" customWidth="1"/>
  </cols>
  <sheetData>
    <row r="3" spans="1:2">
      <c r="A3" s="17" t="s">
        <v>2647</v>
      </c>
      <c r="B3" t="s">
        <v>2642</v>
      </c>
    </row>
    <row r="4" spans="1:2">
      <c r="A4" s="18">
        <v>1</v>
      </c>
      <c r="B4">
        <v>86</v>
      </c>
    </row>
    <row r="5" spans="1:2">
      <c r="A5" s="18">
        <v>2</v>
      </c>
      <c r="B5">
        <v>139</v>
      </c>
    </row>
    <row r="6" spans="1:2">
      <c r="A6" s="18">
        <v>3</v>
      </c>
      <c r="B6">
        <v>86</v>
      </c>
    </row>
    <row r="7" spans="1:2">
      <c r="A7" s="18">
        <v>4</v>
      </c>
      <c r="B7">
        <v>65</v>
      </c>
    </row>
    <row r="8" spans="1:2">
      <c r="A8" s="18">
        <v>5</v>
      </c>
      <c r="B8">
        <v>45</v>
      </c>
    </row>
    <row r="9" spans="1:2">
      <c r="A9" s="18" t="s">
        <v>2658</v>
      </c>
      <c r="B9">
        <v>98</v>
      </c>
    </row>
    <row r="10" spans="1:2">
      <c r="A10" s="18" t="s">
        <v>2653</v>
      </c>
      <c r="B10">
        <v>50</v>
      </c>
    </row>
    <row r="11" spans="1:2">
      <c r="A11" s="18" t="s">
        <v>2648</v>
      </c>
      <c r="B11">
        <v>569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5EDD-50C1-4E68-A1C6-20CB0014624C}">
  <dimension ref="A3:I25"/>
  <sheetViews>
    <sheetView topLeftCell="G1" workbookViewId="0">
      <selection activeCell="I6" sqref="I6"/>
    </sheetView>
  </sheetViews>
  <sheetFormatPr defaultRowHeight="14.4"/>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8" max="8" width="12.44140625" bestFit="1" customWidth="1"/>
    <col min="9" max="9" width="14.21875" bestFit="1" customWidth="1"/>
    <col min="10" max="10" width="9.5546875" customWidth="1"/>
    <col min="11" max="11" width="11.33203125" customWidth="1"/>
    <col min="12" max="12" width="8.5546875" bestFit="1" customWidth="1"/>
    <col min="13" max="13" width="10.5546875" bestFit="1" customWidth="1"/>
  </cols>
  <sheetData>
    <row r="3" spans="1:9">
      <c r="A3" s="17" t="s">
        <v>2643</v>
      </c>
      <c r="B3" s="17" t="s">
        <v>2650</v>
      </c>
      <c r="H3" s="17" t="s">
        <v>2647</v>
      </c>
      <c r="I3" t="s">
        <v>2643</v>
      </c>
    </row>
    <row r="4" spans="1:9">
      <c r="A4" s="17" t="s">
        <v>2647</v>
      </c>
      <c r="B4" t="s">
        <v>2537</v>
      </c>
      <c r="C4" t="s">
        <v>2526</v>
      </c>
      <c r="D4" t="s">
        <v>2651</v>
      </c>
      <c r="E4" t="s">
        <v>2532</v>
      </c>
      <c r="F4" t="s">
        <v>2648</v>
      </c>
      <c r="H4" s="18" t="s">
        <v>2537</v>
      </c>
      <c r="I4">
        <v>1312</v>
      </c>
    </row>
    <row r="5" spans="1:9">
      <c r="A5" s="18" t="s">
        <v>44</v>
      </c>
      <c r="B5">
        <v>157</v>
      </c>
      <c r="C5">
        <v>220</v>
      </c>
      <c r="D5">
        <v>12</v>
      </c>
      <c r="E5">
        <v>10</v>
      </c>
      <c r="F5">
        <v>399</v>
      </c>
      <c r="H5" s="18" t="s">
        <v>2526</v>
      </c>
      <c r="I5">
        <v>1148</v>
      </c>
    </row>
    <row r="6" spans="1:9">
      <c r="A6" s="18" t="s">
        <v>39</v>
      </c>
      <c r="B6">
        <v>175</v>
      </c>
      <c r="C6">
        <v>187</v>
      </c>
      <c r="D6">
        <v>8</v>
      </c>
      <c r="E6">
        <v>12</v>
      </c>
      <c r="F6">
        <v>382</v>
      </c>
      <c r="H6" s="18" t="s">
        <v>2651</v>
      </c>
      <c r="I6">
        <v>72</v>
      </c>
    </row>
    <row r="7" spans="1:9">
      <c r="A7" s="18" t="s">
        <v>26</v>
      </c>
      <c r="B7">
        <v>177</v>
      </c>
      <c r="C7">
        <v>80</v>
      </c>
      <c r="E7">
        <v>27</v>
      </c>
      <c r="F7">
        <v>284</v>
      </c>
      <c r="H7" s="18" t="s">
        <v>2532</v>
      </c>
      <c r="I7">
        <v>134</v>
      </c>
    </row>
    <row r="8" spans="1:9">
      <c r="A8" s="18" t="s">
        <v>22</v>
      </c>
      <c r="B8">
        <v>146</v>
      </c>
      <c r="C8">
        <v>98</v>
      </c>
      <c r="D8">
        <v>6</v>
      </c>
      <c r="F8">
        <v>250</v>
      </c>
      <c r="H8" s="18" t="s">
        <v>2648</v>
      </c>
      <c r="I8">
        <v>2666</v>
      </c>
    </row>
    <row r="9" spans="1:9">
      <c r="A9" s="18" t="s">
        <v>135</v>
      </c>
      <c r="B9">
        <v>42</v>
      </c>
      <c r="C9">
        <v>82</v>
      </c>
      <c r="D9">
        <v>13</v>
      </c>
      <c r="F9">
        <v>137</v>
      </c>
    </row>
    <row r="10" spans="1:9">
      <c r="A10" s="18" t="s">
        <v>32</v>
      </c>
      <c r="B10">
        <v>72</v>
      </c>
      <c r="C10">
        <v>52</v>
      </c>
      <c r="E10">
        <v>6</v>
      </c>
      <c r="F10">
        <v>130</v>
      </c>
    </row>
    <row r="11" spans="1:9">
      <c r="A11" s="18" t="s">
        <v>16</v>
      </c>
      <c r="B11">
        <v>68</v>
      </c>
      <c r="C11">
        <v>48</v>
      </c>
      <c r="E11">
        <v>10</v>
      </c>
      <c r="F11">
        <v>126</v>
      </c>
    </row>
    <row r="12" spans="1:9">
      <c r="A12" s="18" t="s">
        <v>42</v>
      </c>
      <c r="B12">
        <v>55</v>
      </c>
      <c r="C12">
        <v>54</v>
      </c>
      <c r="D12">
        <v>5</v>
      </c>
      <c r="F12">
        <v>114</v>
      </c>
    </row>
    <row r="13" spans="1:9">
      <c r="A13" s="18" t="s">
        <v>37</v>
      </c>
      <c r="B13">
        <v>53</v>
      </c>
      <c r="C13">
        <v>45</v>
      </c>
      <c r="D13">
        <v>6</v>
      </c>
      <c r="E13">
        <v>3</v>
      </c>
      <c r="F13">
        <v>107</v>
      </c>
    </row>
    <row r="14" spans="1:9">
      <c r="A14" s="18" t="s">
        <v>46</v>
      </c>
      <c r="B14">
        <v>57</v>
      </c>
      <c r="C14">
        <v>31</v>
      </c>
      <c r="E14">
        <v>17</v>
      </c>
      <c r="F14">
        <v>105</v>
      </c>
    </row>
    <row r="15" spans="1:9">
      <c r="A15" s="18" t="s">
        <v>54</v>
      </c>
      <c r="B15">
        <v>57</v>
      </c>
      <c r="C15">
        <v>41</v>
      </c>
      <c r="E15">
        <v>4</v>
      </c>
      <c r="F15">
        <v>102</v>
      </c>
    </row>
    <row r="16" spans="1:9">
      <c r="A16" s="18" t="s">
        <v>76</v>
      </c>
      <c r="B16">
        <v>34</v>
      </c>
      <c r="C16">
        <v>50</v>
      </c>
      <c r="E16">
        <v>6</v>
      </c>
      <c r="F16">
        <v>90</v>
      </c>
    </row>
    <row r="17" spans="1:6">
      <c r="A17" s="18" t="s">
        <v>67</v>
      </c>
      <c r="B17">
        <v>53</v>
      </c>
      <c r="C17">
        <v>34</v>
      </c>
      <c r="F17">
        <v>87</v>
      </c>
    </row>
    <row r="18" spans="1:6">
      <c r="A18" s="18" t="s">
        <v>69</v>
      </c>
      <c r="B18">
        <v>42</v>
      </c>
      <c r="C18">
        <v>29</v>
      </c>
      <c r="D18">
        <v>4</v>
      </c>
      <c r="E18">
        <v>10</v>
      </c>
      <c r="F18">
        <v>85</v>
      </c>
    </row>
    <row r="19" spans="1:6">
      <c r="A19" s="18" t="s">
        <v>123</v>
      </c>
      <c r="B19">
        <v>31</v>
      </c>
      <c r="C19">
        <v>26</v>
      </c>
      <c r="D19">
        <v>15</v>
      </c>
      <c r="E19">
        <v>2</v>
      </c>
      <c r="F19">
        <v>74</v>
      </c>
    </row>
    <row r="20" spans="1:6">
      <c r="A20" s="18" t="s">
        <v>30</v>
      </c>
      <c r="B20">
        <v>44</v>
      </c>
      <c r="C20">
        <v>14</v>
      </c>
      <c r="E20">
        <v>7</v>
      </c>
      <c r="F20">
        <v>65</v>
      </c>
    </row>
    <row r="21" spans="1:6">
      <c r="A21" s="18" t="s">
        <v>146</v>
      </c>
      <c r="B21">
        <v>11</v>
      </c>
      <c r="C21">
        <v>20</v>
      </c>
      <c r="D21">
        <v>3</v>
      </c>
      <c r="E21">
        <v>5</v>
      </c>
      <c r="F21">
        <v>39</v>
      </c>
    </row>
    <row r="22" spans="1:6">
      <c r="A22" s="18" t="s">
        <v>128</v>
      </c>
      <c r="B22">
        <v>13</v>
      </c>
      <c r="C22">
        <v>9</v>
      </c>
      <c r="E22">
        <v>15</v>
      </c>
      <c r="F22">
        <v>37</v>
      </c>
    </row>
    <row r="23" spans="1:6">
      <c r="A23" s="18" t="s">
        <v>81</v>
      </c>
      <c r="B23">
        <v>16</v>
      </c>
      <c r="C23">
        <v>16</v>
      </c>
      <c r="F23">
        <v>32</v>
      </c>
    </row>
    <row r="24" spans="1:6">
      <c r="A24" s="18" t="s">
        <v>171</v>
      </c>
      <c r="B24">
        <v>9</v>
      </c>
      <c r="C24">
        <v>12</v>
      </c>
      <c r="F24">
        <v>21</v>
      </c>
    </row>
    <row r="25" spans="1:6">
      <c r="A25" s="18" t="s">
        <v>2648</v>
      </c>
      <c r="B25">
        <v>1312</v>
      </c>
      <c r="C25">
        <v>1148</v>
      </c>
      <c r="D25">
        <v>72</v>
      </c>
      <c r="E25">
        <v>134</v>
      </c>
      <c r="F25">
        <v>2666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3D2A-DC4D-498D-B55A-EB024F21875B}">
  <dimension ref="A2:L122"/>
  <sheetViews>
    <sheetView topLeftCell="A41" workbookViewId="0">
      <selection activeCell="L58" sqref="L58"/>
    </sheetView>
  </sheetViews>
  <sheetFormatPr defaultRowHeight="14.4"/>
  <cols>
    <col min="1" max="1" width="22.77734375" bestFit="1" customWidth="1"/>
    <col min="2" max="2" width="19.33203125" bestFit="1" customWidth="1"/>
    <col min="3" max="3" width="14.21875" bestFit="1" customWidth="1"/>
    <col min="4" max="4" width="13.5546875" bestFit="1" customWidth="1"/>
    <col min="6" max="6" width="14.5546875" customWidth="1"/>
    <col min="7" max="7" width="20.77734375" customWidth="1"/>
    <col min="8" max="8" width="15.21875" customWidth="1"/>
    <col min="9" max="9" width="13.6640625" customWidth="1"/>
    <col min="10" max="10" width="22" customWidth="1"/>
    <col min="11" max="11" width="19.6640625" bestFit="1" customWidth="1"/>
    <col min="12" max="12" width="13.5546875" customWidth="1"/>
    <col min="13" max="13" width="14.21875" customWidth="1"/>
  </cols>
  <sheetData>
    <row r="2" spans="1:11">
      <c r="I2" t="s">
        <v>2659</v>
      </c>
    </row>
    <row r="3" spans="1:11">
      <c r="A3" s="17" t="s">
        <v>10</v>
      </c>
      <c r="B3" s="17" t="s">
        <v>11</v>
      </c>
      <c r="C3" t="s">
        <v>2643</v>
      </c>
      <c r="D3" t="s">
        <v>2644</v>
      </c>
      <c r="F3" s="16"/>
      <c r="G3" s="16"/>
      <c r="H3" s="16"/>
    </row>
    <row r="4" spans="1:11">
      <c r="A4" t="s">
        <v>19</v>
      </c>
      <c r="B4" t="s">
        <v>115</v>
      </c>
      <c r="C4">
        <v>129</v>
      </c>
      <c r="D4">
        <v>7590.1999999999989</v>
      </c>
      <c r="I4" s="21" t="str">
        <f>IF(A4="","",A4)</f>
        <v>California</v>
      </c>
      <c r="J4" s="21" t="str">
        <f t="shared" ref="J4:K19" si="0">IF(B4="","",B4)</f>
        <v>Alameda County</v>
      </c>
      <c r="K4" s="21">
        <f t="shared" si="0"/>
        <v>129</v>
      </c>
    </row>
    <row r="5" spans="1:11">
      <c r="A5" t="s">
        <v>19</v>
      </c>
      <c r="B5" t="s">
        <v>641</v>
      </c>
      <c r="C5">
        <v>3</v>
      </c>
      <c r="D5">
        <v>323.39999999999998</v>
      </c>
      <c r="I5" s="21" t="str">
        <f t="shared" ref="I5:K61" si="1">IF(A5="","",A5)</f>
        <v>California</v>
      </c>
      <c r="J5" s="21" t="str">
        <f t="shared" si="0"/>
        <v>Amador County</v>
      </c>
      <c r="K5" s="21">
        <f t="shared" si="0"/>
        <v>3</v>
      </c>
    </row>
    <row r="6" spans="1:11">
      <c r="A6" t="s">
        <v>19</v>
      </c>
      <c r="B6" t="s">
        <v>967</v>
      </c>
      <c r="C6">
        <v>12</v>
      </c>
      <c r="D6">
        <v>352.79999999999995</v>
      </c>
      <c r="I6" s="21" t="str">
        <f t="shared" si="1"/>
        <v>California</v>
      </c>
      <c r="J6" s="21" t="str">
        <f t="shared" si="0"/>
        <v>Butte County</v>
      </c>
      <c r="K6" s="21">
        <f t="shared" si="0"/>
        <v>12</v>
      </c>
    </row>
    <row r="7" spans="1:11">
      <c r="A7" t="s">
        <v>19</v>
      </c>
      <c r="B7" t="s">
        <v>1383</v>
      </c>
      <c r="C7">
        <v>1</v>
      </c>
      <c r="D7">
        <v>40.299999999999997</v>
      </c>
      <c r="I7" s="21" t="str">
        <f t="shared" si="1"/>
        <v>California</v>
      </c>
      <c r="J7" s="21" t="str">
        <f t="shared" si="0"/>
        <v>Colusa County</v>
      </c>
      <c r="K7" s="21">
        <f t="shared" si="0"/>
        <v>1</v>
      </c>
    </row>
    <row r="8" spans="1:11">
      <c r="A8" t="s">
        <v>19</v>
      </c>
      <c r="B8" t="s">
        <v>24</v>
      </c>
      <c r="C8">
        <v>48</v>
      </c>
      <c r="D8">
        <v>3175.1000000000004</v>
      </c>
      <c r="I8" s="21" t="str">
        <f t="shared" si="1"/>
        <v>California</v>
      </c>
      <c r="J8" s="21" t="str">
        <f t="shared" si="0"/>
        <v>Contra Costa County</v>
      </c>
      <c r="K8" s="21">
        <f t="shared" si="0"/>
        <v>48</v>
      </c>
    </row>
    <row r="9" spans="1:11">
      <c r="A9" t="s">
        <v>19</v>
      </c>
      <c r="B9" t="s">
        <v>28</v>
      </c>
      <c r="C9">
        <v>46</v>
      </c>
      <c r="D9">
        <v>2722.7000000000003</v>
      </c>
      <c r="I9" s="21" t="str">
        <f t="shared" si="1"/>
        <v>California</v>
      </c>
      <c r="J9" s="21" t="str">
        <f t="shared" si="0"/>
        <v>Fresno County</v>
      </c>
      <c r="K9" s="21">
        <f t="shared" si="0"/>
        <v>46</v>
      </c>
    </row>
    <row r="10" spans="1:11">
      <c r="A10" t="s">
        <v>19</v>
      </c>
      <c r="B10" t="s">
        <v>208</v>
      </c>
      <c r="C10">
        <v>5</v>
      </c>
      <c r="D10">
        <v>165</v>
      </c>
      <c r="I10" s="21" t="str">
        <f t="shared" si="1"/>
        <v>California</v>
      </c>
      <c r="J10" s="21" t="str">
        <f t="shared" si="0"/>
        <v>Glenn County</v>
      </c>
      <c r="K10" s="21">
        <f t="shared" si="0"/>
        <v>5</v>
      </c>
    </row>
    <row r="11" spans="1:11">
      <c r="A11" t="s">
        <v>19</v>
      </c>
      <c r="B11" t="s">
        <v>587</v>
      </c>
      <c r="C11">
        <v>3</v>
      </c>
      <c r="D11">
        <v>227.39999999999998</v>
      </c>
      <c r="I11" s="21" t="str">
        <f t="shared" si="1"/>
        <v>California</v>
      </c>
      <c r="J11" s="21" t="str">
        <f t="shared" si="0"/>
        <v>Humboldt County</v>
      </c>
      <c r="K11" s="21">
        <f t="shared" si="0"/>
        <v>3</v>
      </c>
    </row>
    <row r="12" spans="1:11">
      <c r="A12" t="s">
        <v>19</v>
      </c>
      <c r="B12" t="s">
        <v>331</v>
      </c>
      <c r="C12">
        <v>9</v>
      </c>
      <c r="D12">
        <v>399</v>
      </c>
      <c r="I12" s="21" t="str">
        <f t="shared" si="1"/>
        <v>California</v>
      </c>
      <c r="J12" s="21" t="str">
        <f t="shared" si="0"/>
        <v>Imperial County</v>
      </c>
      <c r="K12" s="21">
        <f t="shared" si="0"/>
        <v>9</v>
      </c>
    </row>
    <row r="13" spans="1:11">
      <c r="A13" t="s">
        <v>19</v>
      </c>
      <c r="B13" t="s">
        <v>147</v>
      </c>
      <c r="C13">
        <v>56</v>
      </c>
      <c r="D13">
        <v>2649.1000000000004</v>
      </c>
      <c r="I13" s="21" t="str">
        <f t="shared" si="1"/>
        <v>California</v>
      </c>
      <c r="J13" s="21" t="str">
        <f t="shared" si="0"/>
        <v>Kern County</v>
      </c>
      <c r="K13" s="21">
        <f t="shared" si="0"/>
        <v>56</v>
      </c>
    </row>
    <row r="14" spans="1:11">
      <c r="A14" t="s">
        <v>19</v>
      </c>
      <c r="B14" t="s">
        <v>334</v>
      </c>
      <c r="C14">
        <v>12</v>
      </c>
      <c r="D14">
        <v>355.1</v>
      </c>
      <c r="I14" s="21" t="str">
        <f t="shared" si="1"/>
        <v>California</v>
      </c>
      <c r="J14" s="21" t="str">
        <f t="shared" si="0"/>
        <v>Kings County</v>
      </c>
      <c r="K14" s="21">
        <f t="shared" si="0"/>
        <v>12</v>
      </c>
    </row>
    <row r="15" spans="1:11">
      <c r="A15" t="s">
        <v>19</v>
      </c>
      <c r="B15" t="s">
        <v>949</v>
      </c>
      <c r="C15">
        <v>12</v>
      </c>
      <c r="D15">
        <v>944.9</v>
      </c>
      <c r="I15" s="21" t="str">
        <f t="shared" si="1"/>
        <v>California</v>
      </c>
      <c r="J15" s="21" t="str">
        <f t="shared" si="0"/>
        <v>Lake County</v>
      </c>
      <c r="K15" s="21">
        <f t="shared" si="0"/>
        <v>12</v>
      </c>
    </row>
    <row r="16" spans="1:11">
      <c r="A16" t="s">
        <v>19</v>
      </c>
      <c r="B16" t="s">
        <v>33</v>
      </c>
      <c r="C16">
        <v>836</v>
      </c>
      <c r="D16">
        <v>50040.600000000013</v>
      </c>
      <c r="I16" s="21" t="str">
        <f t="shared" si="1"/>
        <v>California</v>
      </c>
      <c r="J16" s="21" t="str">
        <f t="shared" si="0"/>
        <v>Los Angeles County</v>
      </c>
      <c r="K16" s="21">
        <f t="shared" si="0"/>
        <v>836</v>
      </c>
    </row>
    <row r="17" spans="1:11">
      <c r="A17" t="s">
        <v>19</v>
      </c>
      <c r="B17" t="s">
        <v>364</v>
      </c>
      <c r="C17">
        <v>13</v>
      </c>
      <c r="D17">
        <v>765.4</v>
      </c>
      <c r="I17" s="21" t="str">
        <f t="shared" si="1"/>
        <v>California</v>
      </c>
      <c r="J17" s="21" t="str">
        <f t="shared" si="0"/>
        <v>Madera County</v>
      </c>
      <c r="K17" s="21">
        <f t="shared" si="0"/>
        <v>13</v>
      </c>
    </row>
    <row r="18" spans="1:11">
      <c r="A18" t="s">
        <v>19</v>
      </c>
      <c r="B18" t="s">
        <v>545</v>
      </c>
      <c r="C18">
        <v>8</v>
      </c>
      <c r="D18">
        <v>428.8</v>
      </c>
      <c r="I18" s="21" t="str">
        <f t="shared" si="1"/>
        <v>California</v>
      </c>
      <c r="J18" s="21" t="str">
        <f t="shared" si="0"/>
        <v>Marin County</v>
      </c>
      <c r="K18" s="21">
        <f t="shared" si="0"/>
        <v>8</v>
      </c>
    </row>
    <row r="19" spans="1:11">
      <c r="A19" t="s">
        <v>19</v>
      </c>
      <c r="B19" t="s">
        <v>258</v>
      </c>
      <c r="C19">
        <v>6</v>
      </c>
      <c r="D19">
        <v>101.4</v>
      </c>
      <c r="I19" s="21" t="str">
        <f t="shared" si="1"/>
        <v>California</v>
      </c>
      <c r="J19" s="21" t="str">
        <f t="shared" si="0"/>
        <v>Mendocino County</v>
      </c>
      <c r="K19" s="21">
        <f t="shared" si="0"/>
        <v>6</v>
      </c>
    </row>
    <row r="20" spans="1:11">
      <c r="A20" t="s">
        <v>19</v>
      </c>
      <c r="B20" t="s">
        <v>186</v>
      </c>
      <c r="C20">
        <v>19</v>
      </c>
      <c r="D20">
        <v>485.5</v>
      </c>
      <c r="I20" s="21" t="str">
        <f t="shared" si="1"/>
        <v>California</v>
      </c>
      <c r="J20" s="21" t="str">
        <f t="shared" si="1"/>
        <v>Merced County</v>
      </c>
      <c r="K20" s="21">
        <f t="shared" si="1"/>
        <v>19</v>
      </c>
    </row>
    <row r="21" spans="1:11">
      <c r="A21" t="s">
        <v>19</v>
      </c>
      <c r="B21" t="s">
        <v>802</v>
      </c>
      <c r="C21">
        <v>3</v>
      </c>
      <c r="D21">
        <v>71.3</v>
      </c>
      <c r="I21" s="21" t="str">
        <f t="shared" si="1"/>
        <v>California</v>
      </c>
      <c r="J21" s="21" t="str">
        <f t="shared" si="1"/>
        <v>Monterey County</v>
      </c>
      <c r="K21" s="21">
        <f t="shared" si="1"/>
        <v>3</v>
      </c>
    </row>
    <row r="22" spans="1:11">
      <c r="A22" t="s">
        <v>19</v>
      </c>
      <c r="B22" t="s">
        <v>98</v>
      </c>
      <c r="C22">
        <v>30</v>
      </c>
      <c r="D22">
        <v>3807.3999999999996</v>
      </c>
      <c r="I22" s="21" t="str">
        <f t="shared" si="1"/>
        <v>California</v>
      </c>
      <c r="J22" s="21" t="str">
        <f t="shared" si="1"/>
        <v>Napa County</v>
      </c>
      <c r="K22" s="21">
        <f t="shared" si="1"/>
        <v>30</v>
      </c>
    </row>
    <row r="23" spans="1:11">
      <c r="A23" t="s">
        <v>19</v>
      </c>
      <c r="B23" t="s">
        <v>49</v>
      </c>
      <c r="C23">
        <v>12</v>
      </c>
      <c r="D23">
        <v>1167.3</v>
      </c>
      <c r="I23" s="21" t="str">
        <f t="shared" si="1"/>
        <v>California</v>
      </c>
      <c r="J23" s="21" t="str">
        <f t="shared" si="1"/>
        <v>Nevada County</v>
      </c>
      <c r="K23" s="21">
        <f t="shared" si="1"/>
        <v>12</v>
      </c>
    </row>
    <row r="24" spans="1:11">
      <c r="A24" t="s">
        <v>19</v>
      </c>
      <c r="B24" t="s">
        <v>188</v>
      </c>
      <c r="C24">
        <v>16</v>
      </c>
      <c r="D24">
        <v>828.1</v>
      </c>
      <c r="I24" s="21" t="str">
        <f t="shared" si="1"/>
        <v>California</v>
      </c>
      <c r="J24" s="21" t="str">
        <f t="shared" si="1"/>
        <v>Orange County</v>
      </c>
      <c r="K24" s="21">
        <f t="shared" si="1"/>
        <v>16</v>
      </c>
    </row>
    <row r="25" spans="1:11">
      <c r="A25" t="s">
        <v>19</v>
      </c>
      <c r="B25" t="s">
        <v>52</v>
      </c>
      <c r="C25">
        <v>31</v>
      </c>
      <c r="D25">
        <v>1874.7999999999997</v>
      </c>
      <c r="I25" s="21" t="str">
        <f t="shared" si="1"/>
        <v>California</v>
      </c>
      <c r="J25" s="21" t="str">
        <f t="shared" si="1"/>
        <v>Placer County</v>
      </c>
      <c r="K25" s="21">
        <f t="shared" si="1"/>
        <v>31</v>
      </c>
    </row>
    <row r="26" spans="1:11">
      <c r="A26" t="s">
        <v>19</v>
      </c>
      <c r="B26" t="s">
        <v>158</v>
      </c>
      <c r="C26">
        <v>18</v>
      </c>
      <c r="D26">
        <v>884.2</v>
      </c>
      <c r="I26" s="21" t="str">
        <f t="shared" si="1"/>
        <v>California</v>
      </c>
      <c r="J26" s="21" t="str">
        <f t="shared" si="1"/>
        <v>Riverside County</v>
      </c>
      <c r="K26" s="21">
        <f t="shared" si="1"/>
        <v>18</v>
      </c>
    </row>
    <row r="27" spans="1:11">
      <c r="A27" t="s">
        <v>19</v>
      </c>
      <c r="B27" t="s">
        <v>55</v>
      </c>
      <c r="C27">
        <v>258</v>
      </c>
      <c r="D27">
        <v>12845.000000000004</v>
      </c>
      <c r="I27" s="21" t="str">
        <f t="shared" si="1"/>
        <v>California</v>
      </c>
      <c r="J27" s="21" t="str">
        <f t="shared" si="1"/>
        <v>Sacramento County</v>
      </c>
      <c r="K27" s="21">
        <f t="shared" si="1"/>
        <v>258</v>
      </c>
    </row>
    <row r="28" spans="1:11">
      <c r="A28" t="s">
        <v>19</v>
      </c>
      <c r="B28" t="s">
        <v>59</v>
      </c>
      <c r="C28">
        <v>71</v>
      </c>
      <c r="D28">
        <v>3815.5999999999995</v>
      </c>
      <c r="I28" s="21" t="str">
        <f t="shared" si="1"/>
        <v>California</v>
      </c>
      <c r="J28" s="21" t="str">
        <f t="shared" si="1"/>
        <v>San Bernardino County</v>
      </c>
      <c r="K28" s="21">
        <f t="shared" si="1"/>
        <v>71</v>
      </c>
    </row>
    <row r="29" spans="1:11">
      <c r="A29" t="s">
        <v>19</v>
      </c>
      <c r="B29" t="s">
        <v>62</v>
      </c>
      <c r="C29">
        <v>326</v>
      </c>
      <c r="D29">
        <v>18527.999999999996</v>
      </c>
      <c r="I29" s="21" t="str">
        <f t="shared" si="1"/>
        <v>California</v>
      </c>
      <c r="J29" s="21" t="str">
        <f t="shared" si="1"/>
        <v>San Diego County</v>
      </c>
      <c r="K29" s="21">
        <f t="shared" si="1"/>
        <v>326</v>
      </c>
    </row>
    <row r="30" spans="1:11">
      <c r="A30" t="s">
        <v>19</v>
      </c>
      <c r="B30" t="s">
        <v>103</v>
      </c>
      <c r="C30">
        <v>29</v>
      </c>
      <c r="D30">
        <v>1825.1000000000001</v>
      </c>
      <c r="I30" s="21" t="str">
        <f t="shared" si="1"/>
        <v>California</v>
      </c>
      <c r="J30" s="21" t="str">
        <f t="shared" si="1"/>
        <v>San Francisco</v>
      </c>
      <c r="K30" s="21">
        <f t="shared" si="1"/>
        <v>29</v>
      </c>
    </row>
    <row r="31" spans="1:11">
      <c r="A31" t="s">
        <v>19</v>
      </c>
      <c r="B31" t="s">
        <v>201</v>
      </c>
      <c r="C31">
        <v>27</v>
      </c>
      <c r="D31">
        <v>1069.8</v>
      </c>
      <c r="I31" s="21" t="str">
        <f t="shared" si="1"/>
        <v>California</v>
      </c>
      <c r="J31" s="21" t="str">
        <f t="shared" si="1"/>
        <v>San Joaquin County</v>
      </c>
      <c r="K31" s="21">
        <f t="shared" si="1"/>
        <v>27</v>
      </c>
    </row>
    <row r="32" spans="1:11">
      <c r="A32" t="s">
        <v>19</v>
      </c>
      <c r="B32" t="s">
        <v>72</v>
      </c>
      <c r="C32">
        <v>95</v>
      </c>
      <c r="D32">
        <v>4074.2</v>
      </c>
      <c r="I32" s="21" t="str">
        <f t="shared" si="1"/>
        <v>California</v>
      </c>
      <c r="J32" s="21" t="str">
        <f t="shared" si="1"/>
        <v>San Mateo County</v>
      </c>
      <c r="K32" s="21">
        <f t="shared" si="1"/>
        <v>95</v>
      </c>
    </row>
    <row r="33" spans="1:11">
      <c r="A33" t="s">
        <v>19</v>
      </c>
      <c r="B33" t="s">
        <v>74</v>
      </c>
      <c r="C33">
        <v>28</v>
      </c>
      <c r="D33">
        <v>1354.2</v>
      </c>
      <c r="I33" s="21" t="str">
        <f t="shared" si="1"/>
        <v>California</v>
      </c>
      <c r="J33" s="21" t="str">
        <f t="shared" si="1"/>
        <v>Santa Barbara County</v>
      </c>
      <c r="K33" s="21">
        <f t="shared" si="1"/>
        <v>28</v>
      </c>
    </row>
    <row r="34" spans="1:11">
      <c r="A34" t="s">
        <v>19</v>
      </c>
      <c r="B34" t="s">
        <v>77</v>
      </c>
      <c r="C34">
        <v>177</v>
      </c>
      <c r="D34">
        <v>9797.7000000000007</v>
      </c>
      <c r="I34" s="21" t="str">
        <f t="shared" si="1"/>
        <v>California</v>
      </c>
      <c r="J34" s="21" t="str">
        <f t="shared" si="1"/>
        <v>Santa Clara County</v>
      </c>
      <c r="K34" s="21">
        <f t="shared" si="1"/>
        <v>177</v>
      </c>
    </row>
    <row r="35" spans="1:11">
      <c r="A35" t="s">
        <v>19</v>
      </c>
      <c r="B35" t="s">
        <v>309</v>
      </c>
      <c r="C35">
        <v>16</v>
      </c>
      <c r="D35">
        <v>344</v>
      </c>
      <c r="I35" s="21" t="str">
        <f t="shared" si="1"/>
        <v>California</v>
      </c>
      <c r="J35" s="21" t="str">
        <f t="shared" si="1"/>
        <v>Santa Cruz County</v>
      </c>
      <c r="K35" s="21">
        <f t="shared" si="1"/>
        <v>16</v>
      </c>
    </row>
    <row r="36" spans="1:11">
      <c r="A36" t="s">
        <v>19</v>
      </c>
      <c r="B36" t="s">
        <v>1116</v>
      </c>
      <c r="C36">
        <v>38</v>
      </c>
      <c r="D36">
        <v>2457.1</v>
      </c>
      <c r="I36" s="21" t="str">
        <f t="shared" si="1"/>
        <v>California</v>
      </c>
      <c r="J36" s="21" t="str">
        <f t="shared" si="1"/>
        <v>Shasta County</v>
      </c>
      <c r="K36" s="21">
        <f t="shared" si="1"/>
        <v>38</v>
      </c>
    </row>
    <row r="37" spans="1:11">
      <c r="A37" t="s">
        <v>19</v>
      </c>
      <c r="B37" t="s">
        <v>268</v>
      </c>
      <c r="C37">
        <v>2</v>
      </c>
      <c r="D37">
        <v>103.6</v>
      </c>
      <c r="I37" s="21" t="str">
        <f t="shared" si="1"/>
        <v>California</v>
      </c>
      <c r="J37" s="21" t="str">
        <f t="shared" si="1"/>
        <v>Siskiyou County</v>
      </c>
      <c r="K37" s="21">
        <f t="shared" si="1"/>
        <v>2</v>
      </c>
    </row>
    <row r="38" spans="1:11">
      <c r="A38" t="s">
        <v>19</v>
      </c>
      <c r="B38" t="s">
        <v>377</v>
      </c>
      <c r="C38">
        <v>30</v>
      </c>
      <c r="D38">
        <v>2235</v>
      </c>
      <c r="I38" s="21" t="str">
        <f t="shared" si="1"/>
        <v>California</v>
      </c>
      <c r="J38" s="21" t="str">
        <f t="shared" si="1"/>
        <v>Solano County</v>
      </c>
      <c r="K38" s="21">
        <f t="shared" si="1"/>
        <v>30</v>
      </c>
    </row>
    <row r="39" spans="1:11">
      <c r="A39" t="s">
        <v>19</v>
      </c>
      <c r="B39" t="s">
        <v>108</v>
      </c>
      <c r="C39">
        <v>99</v>
      </c>
      <c r="D39">
        <v>7148.4</v>
      </c>
      <c r="I39" s="21" t="str">
        <f t="shared" si="1"/>
        <v>California</v>
      </c>
      <c r="J39" s="21" t="str">
        <f t="shared" si="1"/>
        <v>Sonoma County</v>
      </c>
      <c r="K39" s="21">
        <f t="shared" si="1"/>
        <v>99</v>
      </c>
    </row>
    <row r="40" spans="1:11">
      <c r="A40" t="s">
        <v>19</v>
      </c>
      <c r="B40" t="s">
        <v>110</v>
      </c>
      <c r="C40">
        <v>47</v>
      </c>
      <c r="D40">
        <v>2521.4</v>
      </c>
      <c r="I40" s="21" t="str">
        <f t="shared" si="1"/>
        <v>California</v>
      </c>
      <c r="J40" s="21" t="str">
        <f t="shared" si="1"/>
        <v>Stanislaus County</v>
      </c>
      <c r="K40" s="21">
        <f t="shared" si="1"/>
        <v>47</v>
      </c>
    </row>
    <row r="41" spans="1:11">
      <c r="A41" t="s">
        <v>19</v>
      </c>
      <c r="B41" t="s">
        <v>79</v>
      </c>
      <c r="C41">
        <v>6</v>
      </c>
      <c r="D41">
        <v>323</v>
      </c>
      <c r="I41" s="21" t="str">
        <f t="shared" si="1"/>
        <v>California</v>
      </c>
      <c r="J41" s="21" t="str">
        <f t="shared" si="1"/>
        <v>Tehama County</v>
      </c>
      <c r="K41" s="21">
        <f t="shared" si="1"/>
        <v>6</v>
      </c>
    </row>
    <row r="42" spans="1:11">
      <c r="A42" t="s">
        <v>19</v>
      </c>
      <c r="B42" t="s">
        <v>608</v>
      </c>
      <c r="C42">
        <v>5</v>
      </c>
      <c r="D42">
        <v>167.70000000000002</v>
      </c>
      <c r="I42" s="21" t="str">
        <f t="shared" si="1"/>
        <v>California</v>
      </c>
      <c r="J42" s="21" t="str">
        <f t="shared" si="1"/>
        <v>Trinity County</v>
      </c>
      <c r="K42" s="21">
        <f t="shared" si="1"/>
        <v>5</v>
      </c>
    </row>
    <row r="43" spans="1:11">
      <c r="A43" t="s">
        <v>19</v>
      </c>
      <c r="B43" t="s">
        <v>113</v>
      </c>
      <c r="C43">
        <v>22</v>
      </c>
      <c r="D43">
        <v>904.30000000000007</v>
      </c>
      <c r="I43" s="21" t="str">
        <f t="shared" si="1"/>
        <v>California</v>
      </c>
      <c r="J43" s="21" t="str">
        <f t="shared" si="1"/>
        <v>Tulare County</v>
      </c>
      <c r="K43" s="21">
        <f t="shared" si="1"/>
        <v>22</v>
      </c>
    </row>
    <row r="44" spans="1:11">
      <c r="A44" t="s">
        <v>19</v>
      </c>
      <c r="B44" t="s">
        <v>997</v>
      </c>
      <c r="C44">
        <v>9</v>
      </c>
      <c r="D44">
        <v>630</v>
      </c>
      <c r="I44" s="21" t="str">
        <f t="shared" si="1"/>
        <v>California</v>
      </c>
      <c r="J44" s="21" t="str">
        <f t="shared" si="1"/>
        <v>Tuolumne County</v>
      </c>
      <c r="K44" s="21">
        <f t="shared" si="1"/>
        <v>9</v>
      </c>
    </row>
    <row r="45" spans="1:11">
      <c r="A45" t="s">
        <v>19</v>
      </c>
      <c r="B45" t="s">
        <v>82</v>
      </c>
      <c r="C45">
        <v>51</v>
      </c>
      <c r="D45">
        <v>3212.7</v>
      </c>
      <c r="I45" s="21" t="str">
        <f t="shared" si="1"/>
        <v>California</v>
      </c>
      <c r="J45" s="21" t="str">
        <f t="shared" si="1"/>
        <v>Ventura County</v>
      </c>
      <c r="K45" s="21">
        <f t="shared" si="1"/>
        <v>51</v>
      </c>
    </row>
    <row r="46" spans="1:11">
      <c r="A46" t="s">
        <v>19</v>
      </c>
      <c r="B46" t="s">
        <v>243</v>
      </c>
      <c r="C46">
        <v>2</v>
      </c>
      <c r="D46">
        <v>39.799999999999997</v>
      </c>
      <c r="I46" s="21" t="str">
        <f t="shared" si="1"/>
        <v>California</v>
      </c>
      <c r="J46" s="21" t="str">
        <f t="shared" si="1"/>
        <v>Yolo County</v>
      </c>
      <c r="K46" s="21">
        <f t="shared" si="1"/>
        <v>2</v>
      </c>
    </row>
    <row r="47" spans="1:11">
      <c r="I47" s="21" t="str">
        <f t="shared" si="1"/>
        <v/>
      </c>
      <c r="J47" s="21" t="str">
        <f t="shared" si="1"/>
        <v/>
      </c>
      <c r="K47" s="21" t="str">
        <f t="shared" si="1"/>
        <v/>
      </c>
    </row>
    <row r="48" spans="1:11">
      <c r="I48" s="21" t="str">
        <f t="shared" si="1"/>
        <v/>
      </c>
      <c r="J48" s="21" t="str">
        <f t="shared" si="1"/>
        <v/>
      </c>
      <c r="K48" s="21" t="str">
        <f t="shared" si="1"/>
        <v/>
      </c>
    </row>
    <row r="49" spans="9:12">
      <c r="I49" s="21" t="str">
        <f t="shared" si="1"/>
        <v/>
      </c>
      <c r="J49" s="21" t="str">
        <f t="shared" si="1"/>
        <v/>
      </c>
      <c r="K49" s="21" t="str">
        <f t="shared" si="1"/>
        <v/>
      </c>
    </row>
    <row r="50" spans="9:12">
      <c r="I50" s="21" t="str">
        <f t="shared" si="1"/>
        <v/>
      </c>
      <c r="J50" s="21" t="str">
        <f t="shared" si="1"/>
        <v/>
      </c>
      <c r="K50" s="21" t="str">
        <f t="shared" si="1"/>
        <v/>
      </c>
    </row>
    <row r="51" spans="9:12">
      <c r="I51" s="21" t="str">
        <f t="shared" si="1"/>
        <v/>
      </c>
      <c r="J51" s="21" t="str">
        <f t="shared" si="1"/>
        <v/>
      </c>
      <c r="K51" s="21" t="str">
        <f t="shared" si="1"/>
        <v/>
      </c>
    </row>
    <row r="52" spans="9:12">
      <c r="I52" s="21" t="str">
        <f t="shared" si="1"/>
        <v/>
      </c>
      <c r="J52" s="21" t="str">
        <f t="shared" si="1"/>
        <v/>
      </c>
      <c r="K52" s="21" t="str">
        <f t="shared" si="1"/>
        <v/>
      </c>
    </row>
    <row r="53" spans="9:12">
      <c r="I53" s="21" t="str">
        <f t="shared" si="1"/>
        <v/>
      </c>
      <c r="J53" s="21" t="str">
        <f t="shared" si="1"/>
        <v/>
      </c>
      <c r="K53" s="21" t="str">
        <f t="shared" si="1"/>
        <v/>
      </c>
    </row>
    <row r="54" spans="9:12">
      <c r="I54" s="21" t="str">
        <f t="shared" si="1"/>
        <v/>
      </c>
      <c r="J54" s="21" t="str">
        <f t="shared" si="1"/>
        <v/>
      </c>
      <c r="K54" s="21" t="str">
        <f t="shared" si="1"/>
        <v/>
      </c>
    </row>
    <row r="55" spans="9:12">
      <c r="I55" s="21" t="str">
        <f t="shared" si="1"/>
        <v/>
      </c>
      <c r="J55" s="21" t="str">
        <f t="shared" si="1"/>
        <v/>
      </c>
      <c r="K55" s="21" t="str">
        <f t="shared" si="1"/>
        <v/>
      </c>
    </row>
    <row r="56" spans="9:12">
      <c r="I56" s="21" t="str">
        <f t="shared" si="1"/>
        <v/>
      </c>
      <c r="J56" s="21" t="str">
        <f t="shared" si="1"/>
        <v/>
      </c>
      <c r="K56" s="21" t="str">
        <f t="shared" si="1"/>
        <v/>
      </c>
    </row>
    <row r="57" spans="9:12">
      <c r="I57" s="21" t="str">
        <f t="shared" si="1"/>
        <v/>
      </c>
      <c r="J57" s="21" t="str">
        <f t="shared" si="1"/>
        <v/>
      </c>
      <c r="K57" s="21" t="str">
        <f t="shared" si="1"/>
        <v/>
      </c>
    </row>
    <row r="58" spans="9:12">
      <c r="I58" s="21" t="str">
        <f t="shared" si="1"/>
        <v/>
      </c>
      <c r="J58" s="21" t="str">
        <f t="shared" si="1"/>
        <v/>
      </c>
      <c r="K58" s="21" t="str">
        <f t="shared" si="1"/>
        <v/>
      </c>
    </row>
    <row r="59" spans="9:12">
      <c r="I59" s="21" t="str">
        <f t="shared" si="1"/>
        <v/>
      </c>
      <c r="J59" s="21" t="str">
        <f t="shared" si="1"/>
        <v/>
      </c>
      <c r="K59" s="21" t="str">
        <f t="shared" si="1"/>
        <v/>
      </c>
    </row>
    <row r="60" spans="9:12">
      <c r="I60" s="21" t="str">
        <f t="shared" si="1"/>
        <v/>
      </c>
      <c r="J60" s="21" t="str">
        <f t="shared" si="1"/>
        <v/>
      </c>
      <c r="K60" s="21" t="str">
        <f t="shared" si="1"/>
        <v/>
      </c>
    </row>
    <row r="61" spans="9:12">
      <c r="I61" s="21" t="str">
        <f t="shared" si="1"/>
        <v/>
      </c>
      <c r="J61" s="21" t="str">
        <f t="shared" si="1"/>
        <v/>
      </c>
      <c r="K61" s="21" t="str">
        <f t="shared" si="1"/>
        <v/>
      </c>
    </row>
    <row r="63" spans="9:12">
      <c r="J63" t="s">
        <v>2660</v>
      </c>
    </row>
    <row r="64" spans="9:12">
      <c r="J64" t="s">
        <v>10</v>
      </c>
      <c r="K64" t="s">
        <v>11</v>
      </c>
      <c r="L64" t="s">
        <v>4</v>
      </c>
    </row>
    <row r="65" spans="10:12">
      <c r="J65" s="21" t="s">
        <v>19</v>
      </c>
      <c r="K65" t="s">
        <v>115</v>
      </c>
      <c r="L65">
        <v>31884.999999999996</v>
      </c>
    </row>
    <row r="66" spans="10:12">
      <c r="J66" s="21" t="s">
        <v>19</v>
      </c>
      <c r="K66" t="s">
        <v>20</v>
      </c>
      <c r="L66">
        <v>10.9</v>
      </c>
    </row>
    <row r="67" spans="10:12">
      <c r="J67" s="21" t="s">
        <v>19</v>
      </c>
      <c r="K67" t="s">
        <v>641</v>
      </c>
      <c r="L67">
        <v>800.3</v>
      </c>
    </row>
    <row r="68" spans="10:12">
      <c r="J68" s="21" t="s">
        <v>19</v>
      </c>
      <c r="K68" t="s">
        <v>967</v>
      </c>
      <c r="L68">
        <v>1062.5999999999999</v>
      </c>
    </row>
    <row r="69" spans="10:12">
      <c r="J69" s="21" t="s">
        <v>19</v>
      </c>
      <c r="K69" t="s">
        <v>84</v>
      </c>
      <c r="L69">
        <v>326.20000000000005</v>
      </c>
    </row>
    <row r="70" spans="10:12">
      <c r="J70" s="21" t="s">
        <v>19</v>
      </c>
      <c r="K70" t="s">
        <v>1383</v>
      </c>
      <c r="L70">
        <v>167.5</v>
      </c>
    </row>
    <row r="71" spans="10:12">
      <c r="J71" s="21" t="s">
        <v>19</v>
      </c>
      <c r="K71" t="s">
        <v>24</v>
      </c>
      <c r="L71">
        <v>16168.7</v>
      </c>
    </row>
    <row r="72" spans="10:12">
      <c r="J72" s="21" t="s">
        <v>19</v>
      </c>
      <c r="K72" t="s">
        <v>2204</v>
      </c>
      <c r="L72">
        <v>322.40000000000003</v>
      </c>
    </row>
    <row r="73" spans="10:12">
      <c r="J73" s="21" t="s">
        <v>19</v>
      </c>
      <c r="K73" t="s">
        <v>437</v>
      </c>
      <c r="L73">
        <v>2092.8000000000002</v>
      </c>
    </row>
    <row r="74" spans="10:12">
      <c r="J74" s="21" t="s">
        <v>19</v>
      </c>
      <c r="K74" t="s">
        <v>28</v>
      </c>
      <c r="L74">
        <v>12662.500000000002</v>
      </c>
    </row>
    <row r="75" spans="10:12">
      <c r="J75" s="21" t="s">
        <v>19</v>
      </c>
      <c r="K75" t="s">
        <v>208</v>
      </c>
      <c r="L75">
        <v>343.2</v>
      </c>
    </row>
    <row r="76" spans="10:12">
      <c r="J76" s="21" t="s">
        <v>19</v>
      </c>
      <c r="K76" t="s">
        <v>587</v>
      </c>
      <c r="L76">
        <v>2188.2999999999997</v>
      </c>
    </row>
    <row r="77" spans="10:12">
      <c r="J77" s="21" t="s">
        <v>19</v>
      </c>
      <c r="K77" t="s">
        <v>331</v>
      </c>
      <c r="L77">
        <v>2661.5999999999995</v>
      </c>
    </row>
    <row r="78" spans="10:12">
      <c r="J78" s="21" t="s">
        <v>19</v>
      </c>
      <c r="K78" t="s">
        <v>86</v>
      </c>
      <c r="L78">
        <v>887.5</v>
      </c>
    </row>
    <row r="79" spans="10:12">
      <c r="J79" s="21" t="s">
        <v>19</v>
      </c>
      <c r="K79" t="s">
        <v>147</v>
      </c>
      <c r="L79">
        <v>11354.199999999993</v>
      </c>
    </row>
    <row r="80" spans="10:12">
      <c r="J80" s="21" t="s">
        <v>19</v>
      </c>
      <c r="K80" t="s">
        <v>334</v>
      </c>
      <c r="L80">
        <v>1558.4</v>
      </c>
    </row>
    <row r="81" spans="10:12">
      <c r="J81" s="21" t="s">
        <v>19</v>
      </c>
      <c r="K81" t="s">
        <v>949</v>
      </c>
      <c r="L81">
        <v>2223.9</v>
      </c>
    </row>
    <row r="82" spans="10:12">
      <c r="J82" s="21" t="s">
        <v>19</v>
      </c>
      <c r="K82" t="s">
        <v>1426</v>
      </c>
      <c r="L82">
        <v>26.2</v>
      </c>
    </row>
    <row r="83" spans="10:12">
      <c r="J83" s="21" t="s">
        <v>19</v>
      </c>
      <c r="K83" t="s">
        <v>33</v>
      </c>
      <c r="L83">
        <v>215551.19999999981</v>
      </c>
    </row>
    <row r="84" spans="10:12">
      <c r="J84" s="21" t="s">
        <v>19</v>
      </c>
      <c r="K84" t="s">
        <v>364</v>
      </c>
      <c r="L84">
        <v>2687.3999999999996</v>
      </c>
    </row>
    <row r="85" spans="10:12">
      <c r="J85" s="21" t="s">
        <v>19</v>
      </c>
      <c r="K85" t="s">
        <v>545</v>
      </c>
      <c r="L85">
        <v>1463.3000000000002</v>
      </c>
    </row>
    <row r="86" spans="10:12">
      <c r="J86" s="21" t="s">
        <v>19</v>
      </c>
      <c r="K86" t="s">
        <v>416</v>
      </c>
      <c r="L86">
        <v>445.79999999999995</v>
      </c>
    </row>
    <row r="87" spans="10:12">
      <c r="J87" s="21" t="s">
        <v>19</v>
      </c>
      <c r="K87" t="s">
        <v>258</v>
      </c>
      <c r="L87">
        <v>273.59999999999997</v>
      </c>
    </row>
    <row r="88" spans="10:12">
      <c r="J88" s="21" t="s">
        <v>19</v>
      </c>
      <c r="K88" t="s">
        <v>186</v>
      </c>
      <c r="L88">
        <v>2690.4</v>
      </c>
    </row>
    <row r="89" spans="10:12">
      <c r="J89" s="21" t="s">
        <v>19</v>
      </c>
      <c r="K89" t="s">
        <v>392</v>
      </c>
      <c r="L89">
        <v>28.4</v>
      </c>
    </row>
    <row r="90" spans="10:12">
      <c r="J90" s="21" t="s">
        <v>19</v>
      </c>
      <c r="K90" t="s">
        <v>670</v>
      </c>
      <c r="L90">
        <v>204.8</v>
      </c>
    </row>
    <row r="91" spans="10:12">
      <c r="J91" s="21" t="s">
        <v>19</v>
      </c>
      <c r="K91" t="s">
        <v>802</v>
      </c>
      <c r="L91">
        <v>1607.8999999999999</v>
      </c>
    </row>
    <row r="92" spans="10:12">
      <c r="J92" s="21" t="s">
        <v>19</v>
      </c>
      <c r="K92" t="s">
        <v>98</v>
      </c>
      <c r="L92">
        <v>6444.9</v>
      </c>
    </row>
    <row r="93" spans="10:12">
      <c r="J93" s="21" t="s">
        <v>19</v>
      </c>
      <c r="K93" t="s">
        <v>49</v>
      </c>
      <c r="L93">
        <v>1809.3</v>
      </c>
    </row>
    <row r="94" spans="10:12">
      <c r="J94" s="21" t="s">
        <v>19</v>
      </c>
      <c r="K94" t="s">
        <v>188</v>
      </c>
      <c r="L94">
        <v>9680.399999999996</v>
      </c>
    </row>
    <row r="95" spans="10:12">
      <c r="J95" s="21" t="s">
        <v>19</v>
      </c>
      <c r="K95" t="s">
        <v>52</v>
      </c>
      <c r="L95">
        <v>9414.7999999999993</v>
      </c>
    </row>
    <row r="96" spans="10:12">
      <c r="J96" s="21" t="s">
        <v>19</v>
      </c>
      <c r="K96" t="s">
        <v>338</v>
      </c>
      <c r="L96">
        <v>206.1</v>
      </c>
    </row>
    <row r="97" spans="10:12">
      <c r="J97" s="21" t="s">
        <v>19</v>
      </c>
      <c r="K97" t="s">
        <v>158</v>
      </c>
      <c r="L97">
        <v>7691.3</v>
      </c>
    </row>
    <row r="98" spans="10:12">
      <c r="J98" s="21" t="s">
        <v>19</v>
      </c>
      <c r="K98" t="s">
        <v>55</v>
      </c>
      <c r="L98">
        <v>37784.900000000016</v>
      </c>
    </row>
    <row r="99" spans="10:12">
      <c r="J99" s="21" t="s">
        <v>19</v>
      </c>
      <c r="K99" t="s">
        <v>342</v>
      </c>
      <c r="L99">
        <v>1129.7</v>
      </c>
    </row>
    <row r="100" spans="10:12">
      <c r="J100" s="21" t="s">
        <v>19</v>
      </c>
      <c r="K100" t="s">
        <v>59</v>
      </c>
      <c r="L100">
        <v>20988.9</v>
      </c>
    </row>
    <row r="101" spans="10:12">
      <c r="J101" s="21" t="s">
        <v>19</v>
      </c>
      <c r="K101" t="s">
        <v>62</v>
      </c>
      <c r="L101">
        <v>98367.099999999977</v>
      </c>
    </row>
    <row r="102" spans="10:12">
      <c r="J102" s="21" t="s">
        <v>19</v>
      </c>
      <c r="K102" t="s">
        <v>103</v>
      </c>
      <c r="L102">
        <v>21911.9</v>
      </c>
    </row>
    <row r="103" spans="10:12">
      <c r="J103" s="21" t="s">
        <v>19</v>
      </c>
      <c r="K103" t="s">
        <v>201</v>
      </c>
      <c r="L103">
        <v>5441.2</v>
      </c>
    </row>
    <row r="104" spans="10:12">
      <c r="J104" s="21" t="s">
        <v>19</v>
      </c>
      <c r="K104" t="s">
        <v>429</v>
      </c>
      <c r="L104">
        <v>392.8</v>
      </c>
    </row>
    <row r="105" spans="10:12">
      <c r="J105" s="21" t="s">
        <v>19</v>
      </c>
      <c r="K105" t="s">
        <v>72</v>
      </c>
      <c r="L105">
        <v>16172.000000000005</v>
      </c>
    </row>
    <row r="106" spans="10:12">
      <c r="J106" s="21" t="s">
        <v>19</v>
      </c>
      <c r="K106" t="s">
        <v>74</v>
      </c>
      <c r="L106">
        <v>4334.9999999999991</v>
      </c>
    </row>
    <row r="107" spans="10:12">
      <c r="J107" s="21" t="s">
        <v>19</v>
      </c>
      <c r="K107" t="s">
        <v>77</v>
      </c>
      <c r="L107">
        <v>37449.000000000007</v>
      </c>
    </row>
    <row r="108" spans="10:12">
      <c r="J108" s="21" t="s">
        <v>19</v>
      </c>
      <c r="K108" t="s">
        <v>309</v>
      </c>
      <c r="L108">
        <v>2447.5</v>
      </c>
    </row>
    <row r="109" spans="10:12">
      <c r="J109" s="21" t="s">
        <v>19</v>
      </c>
      <c r="K109" t="s">
        <v>1116</v>
      </c>
      <c r="L109">
        <v>3391.1</v>
      </c>
    </row>
    <row r="110" spans="10:12">
      <c r="J110" s="21" t="s">
        <v>19</v>
      </c>
      <c r="K110" t="s">
        <v>700</v>
      </c>
      <c r="L110">
        <v>30.8</v>
      </c>
    </row>
    <row r="111" spans="10:12">
      <c r="J111" s="21" t="s">
        <v>19</v>
      </c>
      <c r="K111" t="s">
        <v>268</v>
      </c>
      <c r="L111">
        <v>332.3</v>
      </c>
    </row>
    <row r="112" spans="10:12">
      <c r="J112" s="21" t="s">
        <v>19</v>
      </c>
      <c r="K112" t="s">
        <v>377</v>
      </c>
      <c r="L112">
        <v>3175.9999999999995</v>
      </c>
    </row>
    <row r="113" spans="10:12">
      <c r="J113" s="21" t="s">
        <v>19</v>
      </c>
      <c r="K113" t="s">
        <v>108</v>
      </c>
      <c r="L113">
        <v>20939.600000000002</v>
      </c>
    </row>
    <row r="114" spans="10:12">
      <c r="J114" s="21" t="s">
        <v>19</v>
      </c>
      <c r="K114" t="s">
        <v>110</v>
      </c>
      <c r="L114">
        <v>10185.899999999996</v>
      </c>
    </row>
    <row r="115" spans="10:12">
      <c r="J115" s="21" t="s">
        <v>19</v>
      </c>
      <c r="K115" t="s">
        <v>292</v>
      </c>
      <c r="L115">
        <v>958.7</v>
      </c>
    </row>
    <row r="116" spans="10:12">
      <c r="J116" s="21" t="s">
        <v>19</v>
      </c>
      <c r="K116" t="s">
        <v>79</v>
      </c>
      <c r="L116">
        <v>323</v>
      </c>
    </row>
    <row r="117" spans="10:12">
      <c r="J117" s="21" t="s">
        <v>19</v>
      </c>
      <c r="K117" t="s">
        <v>608</v>
      </c>
      <c r="L117">
        <v>167.70000000000002</v>
      </c>
    </row>
    <row r="118" spans="10:12">
      <c r="J118" s="21" t="s">
        <v>19</v>
      </c>
      <c r="K118" t="s">
        <v>113</v>
      </c>
      <c r="L118">
        <v>3978.5</v>
      </c>
    </row>
    <row r="119" spans="10:12">
      <c r="J119" s="21" t="s">
        <v>19</v>
      </c>
      <c r="K119" t="s">
        <v>997</v>
      </c>
      <c r="L119">
        <v>1405</v>
      </c>
    </row>
    <row r="120" spans="10:12">
      <c r="J120" s="21" t="s">
        <v>19</v>
      </c>
      <c r="K120" t="s">
        <v>82</v>
      </c>
      <c r="L120">
        <v>9869.0999999999985</v>
      </c>
    </row>
    <row r="121" spans="10:12">
      <c r="J121" s="21" t="s">
        <v>19</v>
      </c>
      <c r="K121" t="s">
        <v>243</v>
      </c>
      <c r="L121">
        <v>615.29999999999995</v>
      </c>
    </row>
    <row r="122" spans="10:12">
      <c r="J122" s="22" t="s">
        <v>19</v>
      </c>
      <c r="K122" t="s">
        <v>1911</v>
      </c>
      <c r="L122">
        <v>285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1525-F5D2-44A7-B3B2-1A1C525CB177}">
  <dimension ref="A2:G26"/>
  <sheetViews>
    <sheetView topLeftCell="A10" workbookViewId="0">
      <selection activeCell="R21" sqref="R21"/>
    </sheetView>
  </sheetViews>
  <sheetFormatPr defaultRowHeight="14.4"/>
  <cols>
    <col min="1" max="1" width="12.44140625" bestFit="1" customWidth="1"/>
    <col min="2" max="2" width="12.21875" bestFit="1" customWidth="1"/>
    <col min="3" max="3" width="3" bestFit="1" customWidth="1"/>
    <col min="4" max="6" width="4" bestFit="1" customWidth="1"/>
    <col min="7" max="7" width="10.5546875" bestFit="1" customWidth="1"/>
    <col min="8" max="32" width="9" bestFit="1" customWidth="1"/>
    <col min="33" max="89" width="9.44140625" bestFit="1" customWidth="1"/>
    <col min="90" max="90" width="10.5546875" bestFit="1" customWidth="1"/>
  </cols>
  <sheetData>
    <row r="2" spans="1:2">
      <c r="A2" t="s">
        <v>2661</v>
      </c>
    </row>
    <row r="3" spans="1:2">
      <c r="A3" s="17" t="s">
        <v>2647</v>
      </c>
      <c r="B3" t="s">
        <v>2642</v>
      </c>
    </row>
    <row r="4" spans="1:2">
      <c r="A4" s="18">
        <v>0</v>
      </c>
      <c r="B4">
        <v>49</v>
      </c>
    </row>
    <row r="5" spans="1:2">
      <c r="A5" s="18">
        <v>1</v>
      </c>
      <c r="B5">
        <v>208</v>
      </c>
    </row>
    <row r="6" spans="1:2">
      <c r="A6" s="18">
        <v>2</v>
      </c>
      <c r="B6">
        <v>140</v>
      </c>
    </row>
    <row r="7" spans="1:2">
      <c r="A7" s="18">
        <v>3</v>
      </c>
      <c r="B7">
        <v>79</v>
      </c>
    </row>
    <row r="8" spans="1:2">
      <c r="A8" s="18">
        <v>4</v>
      </c>
      <c r="B8">
        <v>45</v>
      </c>
    </row>
    <row r="9" spans="1:2">
      <c r="A9" s="18">
        <v>5</v>
      </c>
      <c r="B9">
        <v>15</v>
      </c>
    </row>
    <row r="10" spans="1:2">
      <c r="A10" s="18">
        <v>6</v>
      </c>
      <c r="B10">
        <v>10</v>
      </c>
    </row>
    <row r="11" spans="1:2">
      <c r="A11" s="18">
        <v>7</v>
      </c>
      <c r="B11">
        <v>9</v>
      </c>
    </row>
    <row r="12" spans="1:2">
      <c r="A12" s="18">
        <v>8</v>
      </c>
      <c r="B12">
        <v>2</v>
      </c>
    </row>
    <row r="13" spans="1:2">
      <c r="A13" s="18">
        <v>9</v>
      </c>
      <c r="B13">
        <v>2</v>
      </c>
    </row>
    <row r="14" spans="1:2">
      <c r="A14" s="18">
        <v>10</v>
      </c>
      <c r="B14">
        <v>2</v>
      </c>
    </row>
    <row r="15" spans="1:2">
      <c r="A15" s="18">
        <v>11</v>
      </c>
      <c r="B15">
        <v>2</v>
      </c>
    </row>
    <row r="16" spans="1:2">
      <c r="A16" s="18">
        <v>13</v>
      </c>
      <c r="B16">
        <v>2</v>
      </c>
    </row>
    <row r="17" spans="1:7">
      <c r="A17" s="18">
        <v>14</v>
      </c>
      <c r="B17">
        <v>4</v>
      </c>
    </row>
    <row r="18" spans="1:7">
      <c r="A18" s="18" t="s">
        <v>2648</v>
      </c>
      <c r="B18">
        <v>569</v>
      </c>
    </row>
    <row r="20" spans="1:7">
      <c r="A20" t="s">
        <v>2662</v>
      </c>
    </row>
    <row r="21" spans="1:7">
      <c r="A21" s="17" t="s">
        <v>2642</v>
      </c>
      <c r="B21" s="17" t="s">
        <v>2650</v>
      </c>
    </row>
    <row r="22" spans="1:7">
      <c r="A22" s="17" t="s">
        <v>2647</v>
      </c>
      <c r="B22">
        <v>1</v>
      </c>
      <c r="C22">
        <v>2</v>
      </c>
      <c r="D22">
        <v>3</v>
      </c>
      <c r="E22">
        <v>4</v>
      </c>
      <c r="F22">
        <v>5</v>
      </c>
      <c r="G22" t="s">
        <v>2648</v>
      </c>
    </row>
    <row r="23" spans="1:7">
      <c r="A23" s="18" t="s">
        <v>2663</v>
      </c>
      <c r="B23">
        <v>1</v>
      </c>
      <c r="C23">
        <v>8</v>
      </c>
      <c r="D23">
        <v>39</v>
      </c>
      <c r="E23">
        <v>78</v>
      </c>
      <c r="F23">
        <v>55</v>
      </c>
      <c r="G23">
        <v>181</v>
      </c>
    </row>
    <row r="24" spans="1:7">
      <c r="A24" s="18" t="s">
        <v>2664</v>
      </c>
      <c r="B24">
        <v>1</v>
      </c>
      <c r="C24">
        <v>19</v>
      </c>
      <c r="D24">
        <v>42</v>
      </c>
      <c r="E24">
        <v>79</v>
      </c>
      <c r="F24">
        <v>51</v>
      </c>
      <c r="G24">
        <v>192</v>
      </c>
    </row>
    <row r="25" spans="1:7">
      <c r="A25" s="18" t="s">
        <v>2665</v>
      </c>
      <c r="B25">
        <v>1</v>
      </c>
      <c r="C25">
        <v>12</v>
      </c>
      <c r="D25">
        <v>38</v>
      </c>
      <c r="E25">
        <v>69</v>
      </c>
      <c r="F25">
        <v>76</v>
      </c>
      <c r="G25">
        <v>196</v>
      </c>
    </row>
    <row r="26" spans="1:7">
      <c r="A26" s="18" t="s">
        <v>2648</v>
      </c>
      <c r="B26">
        <v>3</v>
      </c>
      <c r="C26">
        <v>39</v>
      </c>
      <c r="D26">
        <v>119</v>
      </c>
      <c r="E26">
        <v>226</v>
      </c>
      <c r="F26">
        <v>182</v>
      </c>
      <c r="G26">
        <v>569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C974-E144-4E5F-BFB1-BC78AF95A52A}">
  <dimension ref="A1:C364"/>
  <sheetViews>
    <sheetView topLeftCell="A102" workbookViewId="0">
      <selection activeCell="G389" sqref="G389"/>
    </sheetView>
  </sheetViews>
  <sheetFormatPr defaultRowHeight="14.4"/>
  <cols>
    <col min="1" max="1" width="54.6640625" customWidth="1"/>
  </cols>
  <sheetData>
    <row r="1" spans="1:1" ht="31.2">
      <c r="A1" s="12" t="s">
        <v>2568</v>
      </c>
    </row>
    <row r="3" spans="1:1" ht="23.4">
      <c r="A3" s="9" t="s">
        <v>2569</v>
      </c>
    </row>
    <row r="5" spans="1:1">
      <c r="A5" t="s">
        <v>2570</v>
      </c>
    </row>
    <row r="7" spans="1:1" ht="18">
      <c r="A7" s="6" t="s">
        <v>2518</v>
      </c>
    </row>
    <row r="8" spans="1:1">
      <c r="A8" s="7"/>
    </row>
    <row r="9" spans="1:1">
      <c r="A9" s="7" t="s">
        <v>2571</v>
      </c>
    </row>
    <row r="10" spans="1:1">
      <c r="A10" s="7"/>
    </row>
    <row r="11" spans="1:1">
      <c r="A11" s="7" t="s">
        <v>2572</v>
      </c>
    </row>
    <row r="12" spans="1:1">
      <c r="A12" s="7"/>
    </row>
    <row r="13" spans="1:1">
      <c r="A13" s="7" t="s">
        <v>2573</v>
      </c>
    </row>
    <row r="14" spans="1:1">
      <c r="A14" s="7"/>
    </row>
    <row r="15" spans="1:1">
      <c r="A15" s="7" t="s">
        <v>2574</v>
      </c>
    </row>
    <row r="16" spans="1:1">
      <c r="A16" s="7"/>
    </row>
    <row r="17" spans="1:1">
      <c r="A17" s="7" t="s">
        <v>2575</v>
      </c>
    </row>
    <row r="18" spans="1:1">
      <c r="A18" s="7"/>
    </row>
    <row r="19" spans="1:1">
      <c r="A19" s="7" t="s">
        <v>2576</v>
      </c>
    </row>
    <row r="21" spans="1:1">
      <c r="A21" t="s">
        <v>2577</v>
      </c>
    </row>
    <row r="25" spans="1:1" ht="23.4">
      <c r="A25" s="9" t="s">
        <v>2578</v>
      </c>
    </row>
    <row r="27" spans="1:1" ht="18">
      <c r="A27" s="6" t="s">
        <v>2579</v>
      </c>
    </row>
    <row r="28" spans="1:1">
      <c r="A28" s="7"/>
    </row>
    <row r="29" spans="1:1">
      <c r="A29" s="7" t="s">
        <v>2580</v>
      </c>
    </row>
    <row r="30" spans="1:1">
      <c r="A30" s="7"/>
    </row>
    <row r="31" spans="1:1">
      <c r="A31" s="7" t="s">
        <v>2581</v>
      </c>
    </row>
    <row r="32" spans="1:1">
      <c r="A32" s="7"/>
    </row>
    <row r="33" spans="1:1">
      <c r="A33" s="7" t="s">
        <v>2582</v>
      </c>
    </row>
    <row r="34" spans="1:1">
      <c r="A34" s="7"/>
    </row>
    <row r="35" spans="1:1">
      <c r="A35" s="7" t="s">
        <v>2583</v>
      </c>
    </row>
    <row r="37" spans="1:1">
      <c r="A37" t="s">
        <v>2584</v>
      </c>
    </row>
    <row r="39" spans="1:1" ht="18">
      <c r="A39" s="6" t="s">
        <v>2585</v>
      </c>
    </row>
    <row r="40" spans="1:1">
      <c r="A40" s="7"/>
    </row>
    <row r="41" spans="1:1">
      <c r="A41" s="7" t="s">
        <v>2586</v>
      </c>
    </row>
    <row r="42" spans="1:1">
      <c r="A42" s="7"/>
    </row>
    <row r="43" spans="1:1">
      <c r="A43" s="7" t="s">
        <v>2587</v>
      </c>
    </row>
    <row r="44" spans="1:1">
      <c r="A44" s="7"/>
    </row>
    <row r="45" spans="1:1">
      <c r="A45" s="7" t="s">
        <v>2588</v>
      </c>
    </row>
    <row r="47" spans="1:1" ht="18">
      <c r="A47" s="6" t="s">
        <v>2589</v>
      </c>
    </row>
    <row r="48" spans="1:1">
      <c r="A48" s="7"/>
    </row>
    <row r="49" spans="1:1">
      <c r="A49" s="7" t="s">
        <v>2590</v>
      </c>
    </row>
    <row r="50" spans="1:1">
      <c r="A50" s="7"/>
    </row>
    <row r="51" spans="1:1">
      <c r="A51" s="7" t="s">
        <v>2591</v>
      </c>
    </row>
    <row r="55" spans="1:1" ht="23.4">
      <c r="A55" s="9" t="s">
        <v>2592</v>
      </c>
    </row>
    <row r="57" spans="1:1">
      <c r="A57" t="s">
        <v>2593</v>
      </c>
    </row>
    <row r="59" spans="1:1">
      <c r="A59" t="s">
        <v>2594</v>
      </c>
    </row>
    <row r="61" spans="1:1">
      <c r="A61" s="10" t="s">
        <v>2515</v>
      </c>
    </row>
    <row r="62" spans="1:1">
      <c r="A62" s="11" t="s">
        <v>2516</v>
      </c>
    </row>
    <row r="63" spans="1:1">
      <c r="A63" s="11" t="s">
        <v>2516</v>
      </c>
    </row>
    <row r="65" spans="1:1">
      <c r="A65" t="s">
        <v>2595</v>
      </c>
    </row>
    <row r="67" spans="1:1" ht="18">
      <c r="A67" s="6" t="s">
        <v>2517</v>
      </c>
    </row>
    <row r="69" spans="1:1">
      <c r="A69" s="8" t="str">
        <f>TRIM(A2)</f>
        <v/>
      </c>
    </row>
    <row r="71" spans="1:1" ht="18">
      <c r="A71" s="6" t="s">
        <v>2518</v>
      </c>
    </row>
    <row r="72" spans="1:1">
      <c r="A72" s="7"/>
    </row>
    <row r="73" spans="1:1">
      <c r="A73" s="7" t="s">
        <v>2596</v>
      </c>
    </row>
    <row r="74" spans="1:1">
      <c r="A74" s="7"/>
    </row>
    <row r="75" spans="1:1">
      <c r="A75" s="7" t="s">
        <v>2597</v>
      </c>
    </row>
    <row r="76" spans="1:1">
      <c r="A76" s="7"/>
    </row>
    <row r="77" spans="1:1">
      <c r="A77" s="7" t="s">
        <v>2598</v>
      </c>
    </row>
    <row r="78" spans="1:1">
      <c r="A78" s="7"/>
    </row>
    <row r="79" spans="1:1">
      <c r="A79" s="7" t="s">
        <v>2599</v>
      </c>
    </row>
    <row r="80" spans="1:1">
      <c r="A80" s="7"/>
    </row>
    <row r="81" spans="1:1">
      <c r="A81" s="7" t="s">
        <v>2600</v>
      </c>
    </row>
    <row r="85" spans="1:1" ht="23.4">
      <c r="A85" s="9" t="s">
        <v>2601</v>
      </c>
    </row>
    <row r="87" spans="1:1" ht="18">
      <c r="A87" s="6" t="s">
        <v>2602</v>
      </c>
    </row>
    <row r="89" spans="1:1">
      <c r="A89" s="8" t="str">
        <f>UPPER(A2)</f>
        <v/>
      </c>
    </row>
    <row r="91" spans="1:1">
      <c r="A91" t="s">
        <v>2594</v>
      </c>
    </row>
    <row r="93" spans="1:1">
      <c r="A93" s="8" t="s">
        <v>2519</v>
      </c>
    </row>
    <row r="95" spans="1:1" ht="18">
      <c r="A95" s="6" t="s">
        <v>2603</v>
      </c>
    </row>
    <row r="97" spans="1:1">
      <c r="A97" s="8" t="str">
        <f>LOWER(A2)</f>
        <v/>
      </c>
    </row>
    <row r="99" spans="1:1">
      <c r="A99" t="s">
        <v>2594</v>
      </c>
    </row>
    <row r="101" spans="1:1">
      <c r="A101" s="8" t="s">
        <v>2520</v>
      </c>
    </row>
    <row r="103" spans="1:1" ht="18">
      <c r="A103" s="6" t="s">
        <v>2604</v>
      </c>
    </row>
    <row r="105" spans="1:1">
      <c r="A105" s="8" t="str">
        <f>PROPER(A2)</f>
        <v/>
      </c>
    </row>
    <row r="107" spans="1:1">
      <c r="A107" t="s">
        <v>2594</v>
      </c>
    </row>
    <row r="109" spans="1:1">
      <c r="A109" s="8" t="s">
        <v>2521</v>
      </c>
    </row>
    <row r="113" spans="1:1" ht="23.4">
      <c r="A113" s="9" t="s">
        <v>2514</v>
      </c>
    </row>
    <row r="115" spans="1:1" ht="18">
      <c r="A115" s="6" t="s">
        <v>2605</v>
      </c>
    </row>
    <row r="117" spans="1:1">
      <c r="A117" t="s">
        <v>2606</v>
      </c>
    </row>
    <row r="118" spans="1:1">
      <c r="A118" s="7"/>
    </row>
    <row r="119" spans="1:1">
      <c r="A119" s="7" t="s">
        <v>2607</v>
      </c>
    </row>
    <row r="120" spans="1:1">
      <c r="A120" s="7"/>
    </row>
    <row r="121" spans="1:1">
      <c r="A121" s="7" t="s">
        <v>2608</v>
      </c>
    </row>
    <row r="122" spans="1:1">
      <c r="A122" s="7"/>
    </row>
    <row r="123" spans="1:1">
      <c r="A123" s="7" t="s">
        <v>2609</v>
      </c>
    </row>
    <row r="125" spans="1:1" ht="18">
      <c r="A125" s="6" t="s">
        <v>2610</v>
      </c>
    </row>
    <row r="126" spans="1:1">
      <c r="A126" s="7"/>
    </row>
    <row r="127" spans="1:1">
      <c r="A127" s="7" t="s">
        <v>2611</v>
      </c>
    </row>
    <row r="128" spans="1:1">
      <c r="A128" s="7"/>
    </row>
    <row r="129" spans="1:1">
      <c r="A129" s="7" t="s">
        <v>2612</v>
      </c>
    </row>
    <row r="130" spans="1:1">
      <c r="A130" s="7"/>
    </row>
    <row r="131" spans="1:1">
      <c r="A131" s="7" t="s">
        <v>2613</v>
      </c>
    </row>
    <row r="132" spans="1:1">
      <c r="A132" s="7"/>
    </row>
    <row r="133" spans="1:1">
      <c r="A133" s="7" t="s">
        <v>2614</v>
      </c>
    </row>
    <row r="135" spans="1:1">
      <c r="A135" t="s">
        <v>2615</v>
      </c>
    </row>
    <row r="136" spans="1:1">
      <c r="A136" s="7"/>
    </row>
    <row r="137" spans="1:1">
      <c r="A137" s="14">
        <v>46197</v>
      </c>
    </row>
    <row r="138" spans="1:1">
      <c r="A138" s="7"/>
    </row>
    <row r="139" spans="1:1">
      <c r="A139" s="15">
        <v>46197</v>
      </c>
    </row>
    <row r="140" spans="1:1">
      <c r="A140" s="7"/>
    </row>
    <row r="141" spans="1:1">
      <c r="A141" s="7" t="s">
        <v>2522</v>
      </c>
    </row>
    <row r="145" spans="1:1" ht="23.4">
      <c r="A145" s="9" t="s">
        <v>2616</v>
      </c>
    </row>
    <row r="147" spans="1:1" ht="18">
      <c r="A147" s="6" t="s">
        <v>2523</v>
      </c>
    </row>
    <row r="149" spans="1:1">
      <c r="A149" s="8" t="s">
        <v>2524</v>
      </c>
    </row>
    <row r="151" spans="1:1">
      <c r="A151" t="s">
        <v>2594</v>
      </c>
    </row>
    <row r="153" spans="1:1">
      <c r="A153" t="s">
        <v>2525</v>
      </c>
    </row>
    <row r="155" spans="1:1">
      <c r="A155" s="8" t="s">
        <v>2526</v>
      </c>
    </row>
    <row r="157" spans="1:1">
      <c r="A157" t="s">
        <v>2617</v>
      </c>
    </row>
    <row r="159" spans="1:1">
      <c r="A159" s="8" t="s">
        <v>23</v>
      </c>
    </row>
    <row r="161" spans="1:1">
      <c r="A161" t="s">
        <v>2618</v>
      </c>
    </row>
    <row r="165" spans="1:1" ht="23.4">
      <c r="A165" s="9" t="s">
        <v>2619</v>
      </c>
    </row>
    <row r="167" spans="1:1" ht="18">
      <c r="A167" s="6" t="s">
        <v>2527</v>
      </c>
    </row>
    <row r="168" spans="1:1">
      <c r="A168" s="7"/>
    </row>
    <row r="169" spans="1:1">
      <c r="A169" s="7" t="s">
        <v>2620</v>
      </c>
    </row>
    <row r="170" spans="1:1">
      <c r="A170" s="7"/>
    </row>
    <row r="171" spans="1:1">
      <c r="A171" s="7" t="s">
        <v>2621</v>
      </c>
    </row>
    <row r="173" spans="1:1" ht="18">
      <c r="A173" s="6" t="s">
        <v>2528</v>
      </c>
    </row>
    <row r="175" spans="1:1">
      <c r="A175" s="8" t="e">
        <f>AVERAGE(B2:B100)</f>
        <v>#DIV/0!</v>
      </c>
    </row>
    <row r="177" spans="1:1" ht="18">
      <c r="A177" s="6" t="s">
        <v>2529</v>
      </c>
    </row>
    <row r="179" spans="1:1">
      <c r="A179" s="8" t="e">
        <f>MEDIAN(B2:B100)</f>
        <v>#NUM!</v>
      </c>
    </row>
    <row r="181" spans="1:1" ht="18">
      <c r="A181" s="6" t="s">
        <v>2530</v>
      </c>
    </row>
    <row r="182" spans="1:1">
      <c r="A182" s="7"/>
    </row>
    <row r="183" spans="1:1">
      <c r="A183" s="7" t="s">
        <v>2531</v>
      </c>
    </row>
    <row r="184" spans="1:1">
      <c r="A184" s="7"/>
    </row>
    <row r="185" spans="1:1">
      <c r="A185" s="7" t="s">
        <v>2532</v>
      </c>
    </row>
    <row r="186" spans="1:1">
      <c r="A186" s="7"/>
    </row>
    <row r="187" spans="1:1">
      <c r="A187" s="7" t="s">
        <v>2533</v>
      </c>
    </row>
    <row r="191" spans="1:1" ht="23.4">
      <c r="A191" s="9" t="s">
        <v>2622</v>
      </c>
    </row>
    <row r="193" spans="1:1">
      <c r="A193" t="s">
        <v>2594</v>
      </c>
    </row>
    <row r="195" spans="1:1">
      <c r="A195" s="10" t="s">
        <v>2534</v>
      </c>
    </row>
    <row r="196" spans="1:1">
      <c r="A196" s="11" t="s">
        <v>2526</v>
      </c>
    </row>
    <row r="197" spans="1:1">
      <c r="A197" s="11" t="s">
        <v>2535</v>
      </c>
    </row>
    <row r="198" spans="1:1">
      <c r="A198" s="11" t="s">
        <v>23</v>
      </c>
    </row>
    <row r="199" spans="1:1">
      <c r="A199" s="11" t="s">
        <v>2536</v>
      </c>
    </row>
    <row r="200" spans="1:1">
      <c r="A200" s="11" t="s">
        <v>2537</v>
      </c>
    </row>
    <row r="202" spans="1:1">
      <c r="A202" t="s">
        <v>2623</v>
      </c>
    </row>
    <row r="204" spans="1:1">
      <c r="A204" t="s">
        <v>2594</v>
      </c>
    </row>
    <row r="205" spans="1:1">
      <c r="A205" s="7"/>
    </row>
    <row r="206" spans="1:1">
      <c r="A206" s="7" t="s">
        <v>2538</v>
      </c>
    </row>
    <row r="207" spans="1:1">
      <c r="A207" s="7"/>
    </row>
    <row r="208" spans="1:1">
      <c r="A208" s="7" t="s">
        <v>2539</v>
      </c>
    </row>
    <row r="209" spans="1:1">
      <c r="A209" s="7"/>
    </row>
    <row r="210" spans="1:1">
      <c r="A210" s="7" t="s">
        <v>2540</v>
      </c>
    </row>
    <row r="211" spans="1:1">
      <c r="A211" s="7"/>
    </row>
    <row r="212" spans="1:1">
      <c r="A212" s="7" t="s">
        <v>2541</v>
      </c>
    </row>
    <row r="216" spans="1:1" ht="23.4">
      <c r="A216" s="9" t="s">
        <v>2624</v>
      </c>
    </row>
    <row r="218" spans="1:1">
      <c r="A218" t="s">
        <v>2625</v>
      </c>
    </row>
    <row r="220" spans="1:1" ht="18">
      <c r="A220" s="6" t="s">
        <v>2626</v>
      </c>
    </row>
    <row r="221" spans="1:1">
      <c r="A221" s="7"/>
    </row>
    <row r="222" spans="1:1">
      <c r="A222" s="7" t="s">
        <v>2627</v>
      </c>
    </row>
    <row r="223" spans="1:1">
      <c r="A223" s="7"/>
    </row>
    <row r="224" spans="1:1">
      <c r="A224" s="7" t="s">
        <v>2628</v>
      </c>
    </row>
    <row r="225" spans="1:1">
      <c r="A225" s="7"/>
    </row>
    <row r="226" spans="1:1">
      <c r="A226" s="7" t="s">
        <v>2629</v>
      </c>
    </row>
    <row r="227" spans="1:1">
      <c r="A227" s="7"/>
    </row>
    <row r="228" spans="1:1">
      <c r="A228" s="7" t="s">
        <v>2630</v>
      </c>
    </row>
    <row r="230" spans="1:1">
      <c r="A230" s="8" t="s">
        <v>2542</v>
      </c>
    </row>
    <row r="231" spans="1:1">
      <c r="A231" s="7"/>
    </row>
    <row r="232" spans="1:1">
      <c r="A232" s="7" t="s">
        <v>2631</v>
      </c>
    </row>
    <row r="234" spans="1:1">
      <c r="A234" t="s">
        <v>2632</v>
      </c>
    </row>
    <row r="238" spans="1:1" ht="23.4">
      <c r="A238" s="9" t="s">
        <v>2513</v>
      </c>
    </row>
    <row r="240" spans="1:1" ht="18">
      <c r="A240" s="6" t="s">
        <v>2633</v>
      </c>
    </row>
    <row r="242" spans="1:1">
      <c r="A242" t="s">
        <v>2523</v>
      </c>
    </row>
    <row r="244" spans="1:1">
      <c r="A244" s="8" t="s">
        <v>2543</v>
      </c>
    </row>
    <row r="246" spans="1:1" ht="18">
      <c r="A246" s="6" t="s">
        <v>2634</v>
      </c>
    </row>
    <row r="247" spans="1:1">
      <c r="A247" s="7"/>
    </row>
    <row r="248" spans="1:1">
      <c r="A248" s="7" t="s">
        <v>2544</v>
      </c>
    </row>
    <row r="249" spans="1:1">
      <c r="A249" s="7"/>
    </row>
    <row r="250" spans="1:1">
      <c r="A250" s="7" t="s">
        <v>2545</v>
      </c>
    </row>
    <row r="251" spans="1:1">
      <c r="A251" s="7"/>
    </row>
    <row r="252" spans="1:1">
      <c r="A252" s="7" t="s">
        <v>2546</v>
      </c>
    </row>
    <row r="253" spans="1:1">
      <c r="A253" s="7"/>
    </row>
    <row r="254" spans="1:1">
      <c r="A254" s="7" t="s">
        <v>2635</v>
      </c>
    </row>
    <row r="255" spans="1:1">
      <c r="A255" s="7"/>
    </row>
    <row r="256" spans="1:1">
      <c r="A256" s="7" t="s">
        <v>2547</v>
      </c>
    </row>
    <row r="260" spans="1:2" ht="31.2">
      <c r="A260" s="12" t="s">
        <v>2548</v>
      </c>
    </row>
    <row r="262" spans="1:2">
      <c r="A262" s="10" t="s">
        <v>2549</v>
      </c>
      <c r="B262" s="10" t="s">
        <v>2550</v>
      </c>
    </row>
    <row r="263" spans="1:2">
      <c r="A263" s="11" t="s">
        <v>2636</v>
      </c>
      <c r="B263" s="11" t="str">
        <f>TRIM(A2)</f>
        <v/>
      </c>
    </row>
    <row r="264" spans="1:2">
      <c r="A264" s="11" t="s">
        <v>2602</v>
      </c>
      <c r="B264" s="11" t="str">
        <f>UPPER(A2)</f>
        <v/>
      </c>
    </row>
    <row r="265" spans="1:2">
      <c r="A265" s="11" t="s">
        <v>2603</v>
      </c>
      <c r="B265" s="11" t="str">
        <f>LOWER(A2)</f>
        <v/>
      </c>
    </row>
    <row r="266" spans="1:2">
      <c r="A266" s="11" t="s">
        <v>2604</v>
      </c>
      <c r="B266" s="11" t="str">
        <f>PROPER(A2)</f>
        <v/>
      </c>
    </row>
    <row r="267" spans="1:2">
      <c r="A267" s="11" t="s">
        <v>2637</v>
      </c>
      <c r="B267" s="11">
        <f>LEN(A2)</f>
        <v>0</v>
      </c>
    </row>
    <row r="268" spans="1:2">
      <c r="A268" s="11" t="s">
        <v>2551</v>
      </c>
      <c r="B268" s="11" t="str">
        <f>SUBSTITUTE(A2,"Male","M")</f>
        <v/>
      </c>
    </row>
    <row r="269" spans="1:2">
      <c r="A269" s="11" t="s">
        <v>2638</v>
      </c>
      <c r="B269" s="11" t="str">
        <f>CLEAN(A2)</f>
        <v/>
      </c>
    </row>
    <row r="272" spans="1:2" ht="31.2">
      <c r="A272" s="12" t="s">
        <v>2552</v>
      </c>
    </row>
    <row r="274" spans="1:3" ht="18">
      <c r="A274" s="6" t="s">
        <v>2553</v>
      </c>
    </row>
    <row r="276" spans="1:3">
      <c r="A276" s="10" t="s">
        <v>2515</v>
      </c>
      <c r="B276" s="10" t="s">
        <v>2534</v>
      </c>
      <c r="C276" s="10" t="s">
        <v>2554</v>
      </c>
    </row>
    <row r="277" spans="1:3">
      <c r="A277" s="11" t="s">
        <v>2516</v>
      </c>
      <c r="B277" s="11" t="s">
        <v>2526</v>
      </c>
      <c r="C277" s="11">
        <v>25000</v>
      </c>
    </row>
    <row r="278" spans="1:3">
      <c r="A278" s="11" t="s">
        <v>2516</v>
      </c>
      <c r="B278" s="11" t="s">
        <v>2535</v>
      </c>
      <c r="C278" s="11">
        <v>25000</v>
      </c>
    </row>
    <row r="279" spans="1:3">
      <c r="A279" s="11" t="s">
        <v>2555</v>
      </c>
      <c r="B279" s="11" t="s">
        <v>2537</v>
      </c>
      <c r="C279" s="11"/>
    </row>
    <row r="280" spans="1:3">
      <c r="A280" s="11" t="s">
        <v>2556</v>
      </c>
      <c r="B280" s="11" t="s">
        <v>23</v>
      </c>
      <c r="C280" s="11">
        <v>30000</v>
      </c>
    </row>
    <row r="282" spans="1:3" ht="18">
      <c r="A282" s="6" t="s">
        <v>2557</v>
      </c>
    </row>
    <row r="284" spans="1:3">
      <c r="A284" s="10" t="s">
        <v>2515</v>
      </c>
      <c r="B284" s="10" t="s">
        <v>2534</v>
      </c>
      <c r="C284" s="10" t="s">
        <v>2554</v>
      </c>
    </row>
    <row r="285" spans="1:3">
      <c r="A285" s="11" t="s">
        <v>2516</v>
      </c>
      <c r="B285" s="11" t="s">
        <v>23</v>
      </c>
      <c r="C285" s="11">
        <v>25000</v>
      </c>
    </row>
    <row r="286" spans="1:3">
      <c r="A286" s="11" t="s">
        <v>2555</v>
      </c>
      <c r="B286" s="11" t="s">
        <v>27</v>
      </c>
      <c r="C286" s="11">
        <v>27500</v>
      </c>
    </row>
    <row r="287" spans="1:3">
      <c r="A287" s="11" t="s">
        <v>2556</v>
      </c>
      <c r="B287" s="11" t="s">
        <v>23</v>
      </c>
      <c r="C287" s="11">
        <v>30000</v>
      </c>
    </row>
    <row r="290" spans="1:1" ht="31.2">
      <c r="A290" s="12" t="s">
        <v>2558</v>
      </c>
    </row>
    <row r="292" spans="1:1">
      <c r="A292" t="s">
        <v>2559</v>
      </c>
    </row>
    <row r="293" spans="1:1">
      <c r="A293" t="s">
        <v>2560</v>
      </c>
    </row>
    <row r="294" spans="1:1">
      <c r="A294" t="s">
        <v>2561</v>
      </c>
    </row>
    <row r="295" spans="1:1">
      <c r="A295" t="s">
        <v>2560</v>
      </c>
    </row>
    <row r="296" spans="1:1">
      <c r="A296" t="s">
        <v>2562</v>
      </c>
    </row>
    <row r="297" spans="1:1">
      <c r="A297" t="s">
        <v>2560</v>
      </c>
    </row>
    <row r="298" spans="1:1">
      <c r="A298" t="s">
        <v>2563</v>
      </c>
    </row>
    <row r="299" spans="1:1">
      <c r="A299" t="s">
        <v>2560</v>
      </c>
    </row>
    <row r="300" spans="1:1">
      <c r="A300" t="s">
        <v>2564</v>
      </c>
    </row>
    <row r="301" spans="1:1">
      <c r="A301" t="s">
        <v>2560</v>
      </c>
    </row>
    <row r="302" spans="1:1">
      <c r="A302" t="s">
        <v>2639</v>
      </c>
    </row>
    <row r="303" spans="1:1">
      <c r="A303" t="s">
        <v>2560</v>
      </c>
    </row>
    <row r="304" spans="1:1">
      <c r="A304" t="s">
        <v>2565</v>
      </c>
    </row>
    <row r="305" spans="1:2">
      <c r="A305" t="s">
        <v>2560</v>
      </c>
    </row>
    <row r="306" spans="1:2">
      <c r="A306" t="s">
        <v>2640</v>
      </c>
    </row>
    <row r="307" spans="1:2">
      <c r="A307" t="s">
        <v>2560</v>
      </c>
    </row>
    <row r="308" spans="1:2">
      <c r="A308" t="s">
        <v>2566</v>
      </c>
    </row>
    <row r="309" spans="1:2">
      <c r="A309" t="s">
        <v>2560</v>
      </c>
    </row>
    <row r="310" spans="1:2">
      <c r="A310" t="s">
        <v>2567</v>
      </c>
    </row>
    <row r="312" spans="1:2">
      <c r="A312" t="s">
        <v>2641</v>
      </c>
    </row>
    <row r="314" spans="1:2" ht="31.2">
      <c r="A314" s="12"/>
    </row>
    <row r="316" spans="1:2">
      <c r="A316" s="10"/>
      <c r="B316" s="10"/>
    </row>
    <row r="317" spans="1:2">
      <c r="A317" s="11"/>
      <c r="B317" s="13"/>
    </row>
    <row r="318" spans="1:2">
      <c r="A318" s="11"/>
      <c r="B318" s="13"/>
    </row>
    <row r="319" spans="1:2">
      <c r="A319" s="11"/>
      <c r="B319" s="13"/>
    </row>
    <row r="320" spans="1:2">
      <c r="A320" s="11"/>
      <c r="B320" s="13"/>
    </row>
    <row r="321" spans="1:3">
      <c r="A321" s="11"/>
      <c r="B321" s="13"/>
    </row>
    <row r="322" spans="1:3">
      <c r="A322" s="11"/>
      <c r="B322" s="13"/>
    </row>
    <row r="323" spans="1:3">
      <c r="A323" s="11"/>
      <c r="B323" s="13"/>
    </row>
    <row r="326" spans="1:3" ht="31.2">
      <c r="A326" s="12"/>
    </row>
    <row r="328" spans="1:3" ht="18">
      <c r="A328" s="6"/>
    </row>
    <row r="330" spans="1:3">
      <c r="A330" s="10"/>
      <c r="B330" s="10"/>
      <c r="C330" s="10"/>
    </row>
    <row r="331" spans="1:3">
      <c r="A331" s="11"/>
      <c r="B331" s="11"/>
      <c r="C331" s="11"/>
    </row>
    <row r="332" spans="1:3">
      <c r="A332" s="11"/>
      <c r="B332" s="11"/>
      <c r="C332" s="11"/>
    </row>
    <row r="333" spans="1:3">
      <c r="A333" s="11"/>
      <c r="B333" s="11"/>
      <c r="C333" s="11"/>
    </row>
    <row r="334" spans="1:3">
      <c r="A334" s="11"/>
      <c r="B334" s="11"/>
      <c r="C334" s="11"/>
    </row>
    <row r="336" spans="1:3" ht="18">
      <c r="A336" s="6"/>
    </row>
    <row r="338" spans="1:3">
      <c r="A338" s="10"/>
      <c r="B338" s="10"/>
      <c r="C338" s="10"/>
    </row>
    <row r="339" spans="1:3">
      <c r="A339" s="11"/>
      <c r="B339" s="11"/>
      <c r="C339" s="11"/>
    </row>
    <row r="340" spans="1:3">
      <c r="A340" s="11"/>
      <c r="B340" s="11"/>
      <c r="C340" s="11"/>
    </row>
    <row r="341" spans="1:3">
      <c r="A341" s="11"/>
      <c r="B341" s="11"/>
      <c r="C341" s="11"/>
    </row>
    <row r="344" spans="1:3" ht="23.4">
      <c r="A344" s="9"/>
    </row>
    <row r="345" spans="1:3">
      <c r="A345" s="5"/>
    </row>
    <row r="346" spans="1:3">
      <c r="A346" s="8"/>
    </row>
    <row r="347" spans="1:3">
      <c r="A347" s="8"/>
    </row>
    <row r="348" spans="1:3">
      <c r="A348" s="8"/>
    </row>
    <row r="349" spans="1:3">
      <c r="A349" s="8"/>
    </row>
    <row r="350" spans="1:3">
      <c r="A350" s="8"/>
    </row>
    <row r="351" spans="1:3">
      <c r="A351" s="8"/>
    </row>
    <row r="352" spans="1:3">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KPIs and Questions</vt:lpstr>
      <vt:lpstr>Dashboard</vt:lpstr>
      <vt:lpstr>Insights</vt:lpstr>
      <vt:lpstr>pivot 1</vt:lpstr>
      <vt:lpstr>pivot2</vt:lpstr>
      <vt:lpstr>pivot3</vt:lpstr>
      <vt:lpstr>pivot4</vt:lpstr>
      <vt:lpstr>pivot5</vt:lpstr>
      <vt:lpstr>pivot6</vt:lpstr>
      <vt:lpstr>data cleaning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aarti dorle</cp:lastModifiedBy>
  <dcterms:created xsi:type="dcterms:W3CDTF">2025-06-13T02:42:26Z</dcterms:created>
  <dcterms:modified xsi:type="dcterms:W3CDTF">2026-08-25T05:19:44Z</dcterms:modified>
</cp:coreProperties>
</file>